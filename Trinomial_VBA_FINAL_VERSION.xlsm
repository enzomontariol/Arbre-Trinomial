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5a8db110fc1950d1/Obsidian/Enzo/Paris/Cours 272/S1/Programmation comparée VBA- Python/Projet/Trinomial Cecile Enzo/Arbre-Trinomial---Cecile-Enzo/"/>
    </mc:Choice>
  </mc:AlternateContent>
  <xr:revisionPtr revIDLastSave="42" documentId="13_ncr:1_{4ACA962A-B277-46C3-B146-9D2AA6FA8D18}" xr6:coauthVersionLast="47" xr6:coauthVersionMax="47" xr10:uidLastSave="{A27F12AA-E909-41DD-9118-E70DB0DC5517}"/>
  <bookViews>
    <workbookView xWindow="-16320" yWindow="5070" windowWidth="16440" windowHeight="28320" tabRatio="918" activeTab="1" xr2:uid="{66C7C7C7-FF3B-41D6-9E6B-74899EA302A8}"/>
  </bookViews>
  <sheets>
    <sheet name="Pricer" sheetId="1" r:id="rId1"/>
    <sheet name="Analysis" sheetId="5" r:id="rId2"/>
    <sheet name="OptPriceGraph" sheetId="2" r:id="rId3"/>
    <sheet name="StockPriceGraph" sheetId="4" r:id="rId4"/>
    <sheet name="CumulativeProbaGraph" sheetId="3" r:id="rId5"/>
  </sheets>
  <functionGroups builtInGroupCount="19"/>
  <definedNames>
    <definedName name="_xleta.DAY" hidden="1" xlm="1">#NAME?</definedName>
    <definedName name="Alpha">Pricer!$D$21</definedName>
    <definedName name="BaseYear">Pricer!$D$22</definedName>
    <definedName name="BSPrice">Pricer!$G$27</definedName>
    <definedName name="BSPriceAnalysis">Analysis!$C$11</definedName>
    <definedName name="BSTime">Pricer!$H$27</definedName>
    <definedName name="BSTimeAnalysis">Analysis!$D$11</definedName>
    <definedName name="CumulativeProbaGraph">Pricer!$H$14</definedName>
    <definedName name="Delta">Pricer!$K$11</definedName>
    <definedName name="DeltaEmpirique">Pricer!$N$11</definedName>
    <definedName name="Dividend">Pricer!$D$14</definedName>
    <definedName name="ExDateDiv">Pricer!$D$15</definedName>
    <definedName name="ExerciseType">Pricer!$D$28</definedName>
    <definedName name="FirstStepUsed">Analysis!$C$19</definedName>
    <definedName name="FirstStrikeUsed">Analysis!$C$51</definedName>
    <definedName name="Gamma">Pricer!$K$12</definedName>
    <definedName name="GammaEmpirique">Pricer!$N$12</definedName>
    <definedName name="GraphPlot" localSheetId="4">CumulativeProbaGraph!$B$5</definedName>
    <definedName name="GraphPlot" localSheetId="2">OptPriceGraph!$B$5</definedName>
    <definedName name="GraphPlot" localSheetId="3">StockPriceGraph!$B$5</definedName>
    <definedName name="InterestRate">Pricer!$D$13</definedName>
    <definedName name="LecturePrice">Pricer!$J$28</definedName>
    <definedName name="LectureTime">Pricer!$J$29</definedName>
    <definedName name="LongOptionDeltaHedging">Pricer!$J$23</definedName>
    <definedName name="Maturity">Pricer!$D$26</definedName>
    <definedName name="ModeleConclusion">Pricer!$J$20</definedName>
    <definedName name="NbSteps">Pricer!$D$20</definedName>
    <definedName name="OptionType">Pricer!$D$27</definedName>
    <definedName name="OptPriceGraph">Pricer!$H$12</definedName>
    <definedName name="OurPrice">Pricer!$G$26</definedName>
    <definedName name="OurPriceAnalysis">Analysis!$D$19</definedName>
    <definedName name="OurTime">Pricer!$H$26</definedName>
    <definedName name="OurTimeAnalysis">Analysis!$E$19</definedName>
    <definedName name="PriceConvergenceBS">Analysis!$F$19</definedName>
    <definedName name="PricingDate">Pricer!$D$19</definedName>
    <definedName name="PricingGap">Pricer!$G$29</definedName>
    <definedName name="Pruning">Pricer!$H$15</definedName>
    <definedName name="Rho">Pricer!$K$15</definedName>
    <definedName name="RhoEmpirique">Pricer!$N$15</definedName>
    <definedName name="ShortOptionDeltaHedging">Pricer!$J$25</definedName>
    <definedName name="StockPrice">Pricer!$D$11</definedName>
    <definedName name="StockPriceGraph">Pricer!$H$13</definedName>
    <definedName name="Strike">Pricer!$D$29</definedName>
    <definedName name="StrikeBSPriceAnalysis">Analysis!$E$51</definedName>
    <definedName name="StrikeBSTimeAnalysis">Analysis!#REF!</definedName>
    <definedName name="StrikeOurPriceAnalysis">Analysis!$D$51</definedName>
    <definedName name="StrikeOurTimeAnalysis">Analysis!#REF!</definedName>
    <definedName name="StrikePriceConvergenceBS">Analysis!$F$51</definedName>
    <definedName name="StrikeTimeConvergenceBS">Analysis!$G$51</definedName>
    <definedName name="Theta">Pricer!$K$14</definedName>
    <definedName name="ThetaEmpirique">Pricer!$N$14</definedName>
    <definedName name="TimeConvergenceBS">Analysis!$G$19</definedName>
    <definedName name="TimeGap">Pricer!$H$29</definedName>
    <definedName name="Vega">Pricer!$K$13</definedName>
    <definedName name="VegaEmpirique">Pricer!$N$13</definedName>
    <definedName name="Vol">Pricer!$D$12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49" i="5" l="1"/>
  <c r="F150" i="5"/>
  <c r="F151" i="5"/>
  <c r="F152" i="5"/>
  <c r="F153" i="5"/>
  <c r="F154" i="5"/>
  <c r="F155" i="5"/>
  <c r="F114" i="5"/>
  <c r="F115" i="5"/>
  <c r="F116" i="5"/>
  <c r="F117" i="5"/>
  <c r="F118" i="5"/>
  <c r="F119" i="5"/>
  <c r="F120" i="5"/>
  <c r="F121" i="5"/>
  <c r="F122" i="5"/>
  <c r="F123" i="5"/>
  <c r="F124" i="5"/>
  <c r="F125" i="5"/>
  <c r="F126" i="5"/>
  <c r="F127" i="5"/>
  <c r="F128" i="5"/>
  <c r="F129" i="5"/>
  <c r="F130" i="5"/>
  <c r="F131" i="5"/>
  <c r="F132" i="5"/>
  <c r="F133" i="5"/>
  <c r="F134" i="5"/>
  <c r="F135" i="5"/>
  <c r="F136" i="5"/>
  <c r="F137" i="5"/>
  <c r="F138" i="5"/>
  <c r="F139" i="5"/>
  <c r="F140" i="5"/>
  <c r="F141" i="5"/>
  <c r="F142" i="5"/>
  <c r="F143" i="5"/>
  <c r="F144" i="5"/>
  <c r="F145" i="5"/>
  <c r="F146" i="5"/>
  <c r="F147" i="5"/>
  <c r="F148" i="5"/>
  <c r="F113" i="5"/>
  <c r="C96" i="5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C107" i="5" s="1"/>
  <c r="C108" i="5" s="1"/>
  <c r="C109" i="5" s="1"/>
  <c r="C110" i="5" s="1"/>
  <c r="C111" i="5" s="1"/>
  <c r="C112" i="5" s="1"/>
  <c r="C113" i="5" s="1"/>
  <c r="C114" i="5" s="1"/>
  <c r="C115" i="5" s="1"/>
  <c r="C116" i="5" s="1"/>
  <c r="C117" i="5" s="1"/>
  <c r="C118" i="5" s="1"/>
  <c r="C119" i="5" s="1"/>
  <c r="C120" i="5" s="1"/>
  <c r="C121" i="5" s="1"/>
  <c r="C122" i="5" s="1"/>
  <c r="C123" i="5" s="1"/>
  <c r="C124" i="5" s="1"/>
  <c r="C125" i="5" s="1"/>
  <c r="C126" i="5" s="1"/>
  <c r="C127" i="5" s="1"/>
  <c r="C128" i="5" s="1"/>
  <c r="C129" i="5" s="1"/>
  <c r="C130" i="5" s="1"/>
  <c r="C131" i="5" s="1"/>
  <c r="C132" i="5" s="1"/>
  <c r="C133" i="5" s="1"/>
  <c r="C134" i="5" s="1"/>
  <c r="C135" i="5" s="1"/>
  <c r="C136" i="5" s="1"/>
  <c r="C137" i="5" s="1"/>
  <c r="C138" i="5" s="1"/>
  <c r="C139" i="5" s="1"/>
  <c r="C140" i="5" s="1"/>
  <c r="C141" i="5" s="1"/>
  <c r="C142" i="5" s="1"/>
  <c r="C143" i="5" s="1"/>
  <c r="C144" i="5" s="1"/>
  <c r="C145" i="5" s="1"/>
  <c r="C146" i="5" s="1"/>
  <c r="C147" i="5" s="1"/>
  <c r="C148" i="5" s="1"/>
  <c r="C149" i="5" s="1"/>
  <c r="C150" i="5" s="1"/>
  <c r="C151" i="5" s="1"/>
  <c r="C152" i="5" s="1"/>
  <c r="C153" i="5" s="1"/>
  <c r="C154" i="5" s="1"/>
  <c r="C155" i="5" s="1"/>
  <c r="C78" i="5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108" i="5"/>
  <c r="F109" i="5"/>
  <c r="F110" i="5"/>
  <c r="F111" i="5"/>
  <c r="F112" i="5"/>
  <c r="F51" i="5"/>
</calcChain>
</file>

<file path=xl/sharedStrings.xml><?xml version="1.0" encoding="utf-8"?>
<sst xmlns="http://schemas.openxmlformats.org/spreadsheetml/2006/main" count="77" uniqueCount="66">
  <si>
    <t>Market</t>
  </si>
  <si>
    <t>Stock Price S</t>
  </si>
  <si>
    <t>Volatility</t>
  </si>
  <si>
    <t>Interest Rate</t>
  </si>
  <si>
    <t>Dividend</t>
  </si>
  <si>
    <t>Ex-Date Dividend</t>
  </si>
  <si>
    <t>Pricer</t>
  </si>
  <si>
    <t>Princing Date</t>
  </si>
  <si>
    <t>Nb Steps</t>
  </si>
  <si>
    <t>Option</t>
  </si>
  <si>
    <t>Maturity</t>
  </si>
  <si>
    <t>Type</t>
  </si>
  <si>
    <t>Exercise</t>
  </si>
  <si>
    <t>Strike</t>
  </si>
  <si>
    <t>Graph</t>
  </si>
  <si>
    <t>Call</t>
  </si>
  <si>
    <t>Trinomial Tree</t>
  </si>
  <si>
    <t>Price</t>
  </si>
  <si>
    <t>Time</t>
  </si>
  <si>
    <t>Black-Scholes</t>
  </si>
  <si>
    <t>Pricing Gap</t>
  </si>
  <si>
    <t>More Information</t>
  </si>
  <si>
    <t>Explication</t>
  </si>
  <si>
    <t>Greeks</t>
  </si>
  <si>
    <t>Delta</t>
  </si>
  <si>
    <t>Gamma</t>
  </si>
  <si>
    <t>Vega</t>
  </si>
  <si>
    <t>Theta</t>
  </si>
  <si>
    <t>Rho</t>
  </si>
  <si>
    <t>Oui/Non</t>
  </si>
  <si>
    <t>Probabilité cumulée</t>
  </si>
  <si>
    <t>Steps</t>
  </si>
  <si>
    <t>Cécile LIN &amp; Enzo MONTARIOL</t>
  </si>
  <si>
    <t>Result</t>
  </si>
  <si>
    <t>Year Base</t>
  </si>
  <si>
    <t>Alpha Parameter</t>
  </si>
  <si>
    <t>Prix de l'Option</t>
  </si>
  <si>
    <t>Prix du Sous Jacent</t>
  </si>
  <si>
    <t>Trinomial Tree Price</t>
  </si>
  <si>
    <t>Oui</t>
  </si>
  <si>
    <t>Conclusion :</t>
  </si>
  <si>
    <t>Lecture :</t>
  </si>
  <si>
    <t>greek empirique</t>
  </si>
  <si>
    <t>Variation Empirique</t>
  </si>
  <si>
    <t>DeltaEmpirique</t>
  </si>
  <si>
    <t>GammaEmpirique</t>
  </si>
  <si>
    <t>VegaEmpirique</t>
  </si>
  <si>
    <t>ThetaEmpirique</t>
  </si>
  <si>
    <t>RhoEmpirique</t>
  </si>
  <si>
    <t>Pruning</t>
  </si>
  <si>
    <t>Elagage</t>
  </si>
  <si>
    <t>Convergence avec Black-Scholes</t>
  </si>
  <si>
    <t>Time Gap avec Black-Scholes</t>
  </si>
  <si>
    <t>Trinomial Tree Time</t>
  </si>
  <si>
    <t>Européen</t>
  </si>
  <si>
    <t>Black-Scholes Price</t>
  </si>
  <si>
    <t xml:space="preserve">Cette analyse ne sera fait qu'avec le pruning. Il est déconseillé de lancer l'analyse en VBA au risque d'attendre une certaine période de temps. </t>
  </si>
  <si>
    <t>Hedging :</t>
  </si>
  <si>
    <t>D'après notre modèle et selon les caractéristiques entrée par l'utilisateur,  un Call de type Européen de strike 100 et de maturité 29/10/2024 23:00:00 a un prix de 0,162424559868658</t>
  </si>
  <si>
    <t>Notre résultat est supérieur de 0,0008 à celui du modèle Black-Scholes.</t>
  </si>
  <si>
    <t>En achetant une option, on a alors un delta de 0,577675074680886 donc pour se delta hedger il faut vendre 0,577675074680886 du sous-jacent.</t>
  </si>
  <si>
    <t>En vendant une option, on a alors un delta de 0,577675074680886 donc pour se delta hedger il faut acheter 0,577675074680886 du sous-jacent.</t>
  </si>
  <si>
    <t>Notre modèle donne un résultat en 0 secondes, soit inférieur de -0,00781 secondes par rapport à celui du modèle Black-Scholes.</t>
  </si>
  <si>
    <t>Pour un Call Européen: avec un prix de départ du sous jacent à 100, un strike à 101, une volatilité et un taux d'intérêt à 2%, une date de pricing au 13/01/2024 et une maturité au 23/10/2024, on obtient le tableau suivant différent steps.</t>
  </si>
  <si>
    <t>Pour un Call Européen: avec un prix de départ du sous jacent à 100, un pas de temps de 10, une volatilité à 30% et un taux d'intérêt à 2%, une date de pricing au 13/01/2024 et une maturité au 23/10/2024, on obtient ce tableau suivant différent strike.</t>
  </si>
  <si>
    <t>Black Scholes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</si>
</sst>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u val="double"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8"/>
      <color theme="0"/>
      <name val="Aptos Narrow"/>
      <family val="2"/>
      <scheme val="minor"/>
    </font>
    <font>
      <b/>
      <sz val="48"/>
      <color theme="0"/>
      <name val="Aptos Narrow"/>
      <family val="2"/>
      <scheme val="minor"/>
    </font>
    <font>
      <b/>
      <sz val="1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3" tint="0.249977111117893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theme="1"/>
      </top>
      <bottom/>
      <diagonal/>
    </border>
    <border>
      <left style="medium">
        <color indexed="64"/>
      </left>
      <right/>
      <top style="medium">
        <color theme="1"/>
      </top>
      <bottom/>
      <diagonal/>
    </border>
    <border>
      <left/>
      <right style="medium">
        <color indexed="64"/>
      </right>
      <top style="medium">
        <color theme="1"/>
      </top>
      <bottom/>
      <diagonal/>
    </border>
    <border>
      <left style="thin">
        <color theme="0"/>
      </left>
      <right/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80">
    <xf numFmtId="0" fontId="0" fillId="0" borderId="0" xfId="0"/>
    <xf numFmtId="0" fontId="0" fillId="3" borderId="3" xfId="0" applyFill="1" applyBorder="1"/>
    <xf numFmtId="0" fontId="0" fillId="3" borderId="4" xfId="0" applyFill="1" applyBorder="1" applyAlignment="1">
      <alignment horizontal="center" vertical="center"/>
    </xf>
    <xf numFmtId="9" fontId="0" fillId="3" borderId="4" xfId="0" applyNumberFormat="1" applyFill="1" applyBorder="1" applyAlignment="1">
      <alignment horizontal="center" vertical="center"/>
    </xf>
    <xf numFmtId="0" fontId="0" fillId="3" borderId="5" xfId="0" applyFill="1" applyBorder="1"/>
    <xf numFmtId="14" fontId="0" fillId="3" borderId="6" xfId="0" applyNumberFormat="1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1" xfId="0" applyFill="1" applyBorder="1"/>
    <xf numFmtId="14" fontId="0" fillId="3" borderId="2" xfId="0" applyNumberFormat="1" applyFill="1" applyBorder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4" xfId="0" applyFill="1" applyBorder="1"/>
    <xf numFmtId="0" fontId="2" fillId="3" borderId="3" xfId="0" applyFont="1" applyFill="1" applyBorder="1"/>
    <xf numFmtId="0" fontId="0" fillId="3" borderId="6" xfId="0" applyFill="1" applyBorder="1"/>
    <xf numFmtId="0" fontId="0" fillId="3" borderId="0" xfId="0" applyFill="1"/>
    <xf numFmtId="0" fontId="3" fillId="3" borderId="12" xfId="0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3" borderId="10" xfId="0" applyFill="1" applyBorder="1"/>
    <xf numFmtId="0" fontId="0" fillId="3" borderId="2" xfId="0" applyFill="1" applyBorder="1"/>
    <xf numFmtId="0" fontId="0" fillId="3" borderId="11" xfId="0" applyFill="1" applyBorder="1"/>
    <xf numFmtId="0" fontId="1" fillId="2" borderId="7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0" fillId="3" borderId="2" xfId="0" applyFill="1" applyBorder="1" applyAlignment="1">
      <alignment horizontal="center"/>
    </xf>
    <xf numFmtId="0" fontId="0" fillId="3" borderId="13" xfId="0" applyFill="1" applyBorder="1"/>
    <xf numFmtId="0" fontId="3" fillId="3" borderId="14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/>
    </xf>
    <xf numFmtId="0" fontId="0" fillId="3" borderId="3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2" fillId="3" borderId="0" xfId="0" applyFont="1" applyFill="1"/>
    <xf numFmtId="0" fontId="0" fillId="3" borderId="1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0" fillId="3" borderId="0" xfId="0" applyFill="1" applyAlignment="1">
      <alignment horizontal="center" vertical="center"/>
    </xf>
    <xf numFmtId="0" fontId="0" fillId="3" borderId="3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1" fillId="4" borderId="0" xfId="0" applyFont="1" applyFill="1"/>
    <xf numFmtId="0" fontId="0" fillId="2" borderId="0" xfId="0" applyFill="1"/>
    <xf numFmtId="0" fontId="0" fillId="3" borderId="0" xfId="0" applyFill="1" applyAlignment="1">
      <alignment wrapText="1"/>
    </xf>
    <xf numFmtId="0" fontId="0" fillId="3" borderId="4" xfId="0" applyFill="1" applyBorder="1" applyAlignment="1">
      <alignment wrapText="1"/>
    </xf>
    <xf numFmtId="0" fontId="9" fillId="3" borderId="3" xfId="0" applyFont="1" applyFill="1" applyBorder="1"/>
    <xf numFmtId="0" fontId="9" fillId="3" borderId="1" xfId="0" applyFont="1" applyFill="1" applyBorder="1"/>
    <xf numFmtId="0" fontId="1" fillId="2" borderId="15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/>
    </xf>
    <xf numFmtId="0" fontId="1" fillId="2" borderId="16" xfId="0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0" fillId="4" borderId="0" xfId="0" applyFill="1"/>
    <xf numFmtId="0" fontId="2" fillId="4" borderId="0" xfId="0" applyFont="1" applyFill="1"/>
    <xf numFmtId="0" fontId="4" fillId="4" borderId="0" xfId="0" applyFont="1" applyFill="1" applyAlignment="1">
      <alignment horizontal="center" vertical="center"/>
    </xf>
    <xf numFmtId="0" fontId="10" fillId="5" borderId="0" xfId="0" applyFont="1" applyFill="1"/>
    <xf numFmtId="0" fontId="10" fillId="4" borderId="0" xfId="0" applyFont="1" applyFill="1"/>
    <xf numFmtId="0" fontId="5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1" fillId="2" borderId="7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0" fillId="3" borderId="3" xfId="0" applyFill="1" applyBorder="1" applyAlignment="1">
      <alignment horizontal="left" vertical="center" wrapText="1"/>
    </xf>
    <xf numFmtId="0" fontId="0" fillId="3" borderId="0" xfId="0" applyFill="1" applyAlignment="1">
      <alignment horizontal="left" vertical="center" wrapText="1"/>
    </xf>
    <xf numFmtId="0" fontId="0" fillId="3" borderId="4" xfId="0" applyFill="1" applyBorder="1" applyAlignment="1">
      <alignment horizontal="left" vertical="center" wrapText="1"/>
    </xf>
    <xf numFmtId="0" fontId="0" fillId="3" borderId="3" xfId="0" applyFill="1" applyBorder="1" applyAlignment="1">
      <alignment horizontal="left" wrapText="1"/>
    </xf>
    <xf numFmtId="0" fontId="0" fillId="3" borderId="0" xfId="0" applyFill="1" applyAlignment="1">
      <alignment horizontal="left" wrapText="1"/>
    </xf>
    <xf numFmtId="0" fontId="0" fillId="3" borderId="4" xfId="0" applyFill="1" applyBorder="1" applyAlignment="1">
      <alignment horizontal="left" wrapText="1"/>
    </xf>
    <xf numFmtId="0" fontId="8" fillId="3" borderId="1" xfId="0" applyFont="1" applyFill="1" applyBorder="1" applyAlignment="1">
      <alignment horizontal="center" vertical="center" wrapText="1"/>
    </xf>
    <xf numFmtId="0" fontId="8" fillId="3" borderId="2" xfId="0" applyFont="1" applyFill="1" applyBorder="1" applyAlignment="1">
      <alignment horizontal="center" vertical="center" wrapText="1"/>
    </xf>
    <xf numFmtId="0" fontId="8" fillId="3" borderId="3" xfId="0" applyFont="1" applyFill="1" applyBorder="1" applyAlignment="1">
      <alignment horizontal="center" vertical="center" wrapText="1"/>
    </xf>
    <xf numFmtId="0" fontId="8" fillId="3" borderId="4" xfId="0" applyFont="1" applyFill="1" applyBorder="1" applyAlignment="1">
      <alignment horizontal="center" vertical="center" wrapText="1"/>
    </xf>
    <xf numFmtId="0" fontId="8" fillId="3" borderId="5" xfId="0" applyFont="1" applyFill="1" applyBorder="1" applyAlignment="1">
      <alignment horizontal="center" vertical="center" wrapText="1"/>
    </xf>
    <xf numFmtId="0" fontId="8" fillId="3" borderId="6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 wrapText="1"/>
    </xf>
    <xf numFmtId="0" fontId="7" fillId="3" borderId="2" xfId="0" applyFont="1" applyFill="1" applyBorder="1" applyAlignment="1">
      <alignment horizontal="center" vertical="center" wrapText="1"/>
    </xf>
    <xf numFmtId="0" fontId="7" fillId="3" borderId="3" xfId="0" applyFont="1" applyFill="1" applyBorder="1" applyAlignment="1">
      <alignment horizontal="center" vertical="center" wrapText="1"/>
    </xf>
    <xf numFmtId="0" fontId="7" fillId="3" borderId="4" xfId="0" applyFont="1" applyFill="1" applyBorder="1" applyAlignment="1">
      <alignment horizontal="center" vertical="center" wrapText="1"/>
    </xf>
    <xf numFmtId="0" fontId="7" fillId="3" borderId="5" xfId="0" applyFont="1" applyFill="1" applyBorder="1" applyAlignment="1">
      <alignment horizontal="center" vertical="center" wrapText="1"/>
    </xf>
    <xf numFmtId="0" fontId="7" fillId="3" borderId="6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Impact</a:t>
            </a:r>
            <a:r>
              <a:rPr lang="fr-FR" baseline="0"/>
              <a:t> sur le prix avec une variation du strike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Analysis!$D$50</c:f>
              <c:strCache>
                <c:ptCount val="1"/>
                <c:pt idx="0">
                  <c:v>Trinomial Tree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Analysis!$C$51:$C$155</c:f>
              <c:numCache>
                <c:formatCode>General</c:formatCode>
                <c:ptCount val="105"/>
                <c:pt idx="0">
                  <c:v>39</c:v>
                </c:pt>
                <c:pt idx="1">
                  <c:v>41</c:v>
                </c:pt>
                <c:pt idx="2">
                  <c:v>43</c:v>
                </c:pt>
                <c:pt idx="3">
                  <c:v>45</c:v>
                </c:pt>
                <c:pt idx="4">
                  <c:v>47</c:v>
                </c:pt>
                <c:pt idx="5">
                  <c:v>49</c:v>
                </c:pt>
                <c:pt idx="6">
                  <c:v>51</c:v>
                </c:pt>
                <c:pt idx="7">
                  <c:v>53</c:v>
                </c:pt>
                <c:pt idx="8">
                  <c:v>55</c:v>
                </c:pt>
                <c:pt idx="9">
                  <c:v>57</c:v>
                </c:pt>
                <c:pt idx="10">
                  <c:v>59</c:v>
                </c:pt>
                <c:pt idx="11">
                  <c:v>61</c:v>
                </c:pt>
                <c:pt idx="12">
                  <c:v>63</c:v>
                </c:pt>
                <c:pt idx="13">
                  <c:v>65</c:v>
                </c:pt>
                <c:pt idx="14">
                  <c:v>67</c:v>
                </c:pt>
                <c:pt idx="15">
                  <c:v>69</c:v>
                </c:pt>
                <c:pt idx="16">
                  <c:v>71</c:v>
                </c:pt>
                <c:pt idx="17">
                  <c:v>73</c:v>
                </c:pt>
                <c:pt idx="18">
                  <c:v>75</c:v>
                </c:pt>
                <c:pt idx="19">
                  <c:v>77</c:v>
                </c:pt>
                <c:pt idx="20">
                  <c:v>79</c:v>
                </c:pt>
                <c:pt idx="21">
                  <c:v>81</c:v>
                </c:pt>
                <c:pt idx="22">
                  <c:v>83</c:v>
                </c:pt>
                <c:pt idx="23">
                  <c:v>85</c:v>
                </c:pt>
                <c:pt idx="24">
                  <c:v>87</c:v>
                </c:pt>
                <c:pt idx="25">
                  <c:v>89</c:v>
                </c:pt>
                <c:pt idx="26">
                  <c:v>91</c:v>
                </c:pt>
                <c:pt idx="27">
                  <c:v>91.5</c:v>
                </c:pt>
                <c:pt idx="28">
                  <c:v>92</c:v>
                </c:pt>
                <c:pt idx="29">
                  <c:v>92.5</c:v>
                </c:pt>
                <c:pt idx="30">
                  <c:v>93</c:v>
                </c:pt>
                <c:pt idx="31">
                  <c:v>93.5</c:v>
                </c:pt>
                <c:pt idx="32">
                  <c:v>94</c:v>
                </c:pt>
                <c:pt idx="33">
                  <c:v>94.5</c:v>
                </c:pt>
                <c:pt idx="34">
                  <c:v>95</c:v>
                </c:pt>
                <c:pt idx="35">
                  <c:v>95.5</c:v>
                </c:pt>
                <c:pt idx="36">
                  <c:v>96</c:v>
                </c:pt>
                <c:pt idx="37">
                  <c:v>96.5</c:v>
                </c:pt>
                <c:pt idx="38">
                  <c:v>97</c:v>
                </c:pt>
                <c:pt idx="39">
                  <c:v>97.5</c:v>
                </c:pt>
                <c:pt idx="40">
                  <c:v>98</c:v>
                </c:pt>
                <c:pt idx="41">
                  <c:v>98.5</c:v>
                </c:pt>
                <c:pt idx="42">
                  <c:v>99</c:v>
                </c:pt>
                <c:pt idx="43">
                  <c:v>99.5</c:v>
                </c:pt>
                <c:pt idx="44">
                  <c:v>101</c:v>
                </c:pt>
                <c:pt idx="45">
                  <c:v>103</c:v>
                </c:pt>
                <c:pt idx="46">
                  <c:v>105</c:v>
                </c:pt>
                <c:pt idx="47">
                  <c:v>107</c:v>
                </c:pt>
                <c:pt idx="48">
                  <c:v>109</c:v>
                </c:pt>
                <c:pt idx="49">
                  <c:v>111</c:v>
                </c:pt>
                <c:pt idx="50">
                  <c:v>113</c:v>
                </c:pt>
                <c:pt idx="51">
                  <c:v>115</c:v>
                </c:pt>
                <c:pt idx="52">
                  <c:v>117</c:v>
                </c:pt>
                <c:pt idx="53">
                  <c:v>119</c:v>
                </c:pt>
                <c:pt idx="54">
                  <c:v>121</c:v>
                </c:pt>
                <c:pt idx="55">
                  <c:v>123</c:v>
                </c:pt>
                <c:pt idx="56">
                  <c:v>125</c:v>
                </c:pt>
                <c:pt idx="57">
                  <c:v>127</c:v>
                </c:pt>
                <c:pt idx="58">
                  <c:v>129</c:v>
                </c:pt>
                <c:pt idx="59">
                  <c:v>131</c:v>
                </c:pt>
                <c:pt idx="60">
                  <c:v>133</c:v>
                </c:pt>
                <c:pt idx="61">
                  <c:v>135</c:v>
                </c:pt>
                <c:pt idx="62">
                  <c:v>137</c:v>
                </c:pt>
                <c:pt idx="63">
                  <c:v>139</c:v>
                </c:pt>
                <c:pt idx="64">
                  <c:v>141</c:v>
                </c:pt>
                <c:pt idx="65">
                  <c:v>143</c:v>
                </c:pt>
                <c:pt idx="66">
                  <c:v>145</c:v>
                </c:pt>
                <c:pt idx="67">
                  <c:v>147</c:v>
                </c:pt>
                <c:pt idx="68">
                  <c:v>149</c:v>
                </c:pt>
                <c:pt idx="69">
                  <c:v>151</c:v>
                </c:pt>
                <c:pt idx="70">
                  <c:v>153</c:v>
                </c:pt>
                <c:pt idx="71">
                  <c:v>155</c:v>
                </c:pt>
                <c:pt idx="72">
                  <c:v>157</c:v>
                </c:pt>
                <c:pt idx="73">
                  <c:v>159</c:v>
                </c:pt>
                <c:pt idx="74">
                  <c:v>161</c:v>
                </c:pt>
                <c:pt idx="75">
                  <c:v>163</c:v>
                </c:pt>
                <c:pt idx="76">
                  <c:v>165</c:v>
                </c:pt>
                <c:pt idx="77">
                  <c:v>167</c:v>
                </c:pt>
                <c:pt idx="78">
                  <c:v>169</c:v>
                </c:pt>
                <c:pt idx="79">
                  <c:v>171</c:v>
                </c:pt>
                <c:pt idx="80">
                  <c:v>173</c:v>
                </c:pt>
                <c:pt idx="81">
                  <c:v>175</c:v>
                </c:pt>
                <c:pt idx="82">
                  <c:v>177</c:v>
                </c:pt>
                <c:pt idx="83">
                  <c:v>179</c:v>
                </c:pt>
                <c:pt idx="84">
                  <c:v>181</c:v>
                </c:pt>
                <c:pt idx="85">
                  <c:v>183</c:v>
                </c:pt>
                <c:pt idx="86">
                  <c:v>185</c:v>
                </c:pt>
                <c:pt idx="87">
                  <c:v>187</c:v>
                </c:pt>
                <c:pt idx="88">
                  <c:v>189</c:v>
                </c:pt>
                <c:pt idx="89">
                  <c:v>191</c:v>
                </c:pt>
                <c:pt idx="90">
                  <c:v>193</c:v>
                </c:pt>
                <c:pt idx="91">
                  <c:v>195</c:v>
                </c:pt>
                <c:pt idx="92">
                  <c:v>197</c:v>
                </c:pt>
                <c:pt idx="93">
                  <c:v>199</c:v>
                </c:pt>
                <c:pt idx="94">
                  <c:v>201</c:v>
                </c:pt>
                <c:pt idx="95">
                  <c:v>203</c:v>
                </c:pt>
                <c:pt idx="96">
                  <c:v>205</c:v>
                </c:pt>
                <c:pt idx="97">
                  <c:v>207</c:v>
                </c:pt>
                <c:pt idx="98">
                  <c:v>209</c:v>
                </c:pt>
                <c:pt idx="99">
                  <c:v>211</c:v>
                </c:pt>
                <c:pt idx="100">
                  <c:v>213</c:v>
                </c:pt>
                <c:pt idx="101">
                  <c:v>215</c:v>
                </c:pt>
                <c:pt idx="102">
                  <c:v>217</c:v>
                </c:pt>
                <c:pt idx="103">
                  <c:v>219</c:v>
                </c:pt>
                <c:pt idx="104">
                  <c:v>221</c:v>
                </c:pt>
              </c:numCache>
            </c:numRef>
          </c:xVal>
          <c:yVal>
            <c:numRef>
              <c:f>Analysis!$D$51:$D$155</c:f>
              <c:numCache>
                <c:formatCode>General</c:formatCode>
                <c:ptCount val="105"/>
                <c:pt idx="0">
                  <c:v>61.602840419431104</c:v>
                </c:pt>
                <c:pt idx="1">
                  <c:v>59.634198484007825</c:v>
                </c:pt>
                <c:pt idx="2">
                  <c:v>57.666199631889704</c:v>
                </c:pt>
                <c:pt idx="3">
                  <c:v>55.700527994891893</c:v>
                </c:pt>
                <c:pt idx="4">
                  <c:v>53.734856357894088</c:v>
                </c:pt>
                <c:pt idx="5">
                  <c:v>51.769184720896291</c:v>
                </c:pt>
                <c:pt idx="6">
                  <c:v>49.816543135410164</c:v>
                </c:pt>
                <c:pt idx="7">
                  <c:v>47.865400003680584</c:v>
                </c:pt>
                <c:pt idx="8">
                  <c:v>45.91425687195099</c:v>
                </c:pt>
                <c:pt idx="9">
                  <c:v>43.966198562295077</c:v>
                </c:pt>
                <c:pt idx="10">
                  <c:v>42.06695003173494</c:v>
                </c:pt>
                <c:pt idx="11">
                  <c:v>40.167701501174783</c:v>
                </c:pt>
                <c:pt idx="12">
                  <c:v>38.268452970614646</c:v>
                </c:pt>
                <c:pt idx="13">
                  <c:v>36.369204440054503</c:v>
                </c:pt>
                <c:pt idx="14">
                  <c:v>34.555533791521356</c:v>
                </c:pt>
                <c:pt idx="15">
                  <c:v>32.793540452793287</c:v>
                </c:pt>
                <c:pt idx="16">
                  <c:v>31.031547114065219</c:v>
                </c:pt>
                <c:pt idx="17">
                  <c:v>29.269553775337155</c:v>
                </c:pt>
                <c:pt idx="18">
                  <c:v>27.50756043660909</c:v>
                </c:pt>
                <c:pt idx="19">
                  <c:v>25.879420062305865</c:v>
                </c:pt>
                <c:pt idx="20">
                  <c:v>24.38747748204193</c:v>
                </c:pt>
                <c:pt idx="21">
                  <c:v>22.895534901777992</c:v>
                </c:pt>
                <c:pt idx="22">
                  <c:v>21.403592321514054</c:v>
                </c:pt>
                <c:pt idx="23">
                  <c:v>19.91164974125012</c:v>
                </c:pt>
                <c:pt idx="24">
                  <c:v>18.419707160986185</c:v>
                </c:pt>
                <c:pt idx="25">
                  <c:v>17.15200173346533</c:v>
                </c:pt>
                <c:pt idx="26">
                  <c:v>16.054828882115721</c:v>
                </c:pt>
                <c:pt idx="27">
                  <c:v>15.506242456440923</c:v>
                </c:pt>
                <c:pt idx="28">
                  <c:v>15.506242456440923</c:v>
                </c:pt>
                <c:pt idx="29">
                  <c:v>15.506242456440923</c:v>
                </c:pt>
                <c:pt idx="30">
                  <c:v>14.957656030766119</c:v>
                </c:pt>
                <c:pt idx="31">
                  <c:v>14.409069605091316</c:v>
                </c:pt>
                <c:pt idx="32">
                  <c:v>14.409069605091316</c:v>
                </c:pt>
                <c:pt idx="33">
                  <c:v>14.409069605091316</c:v>
                </c:pt>
                <c:pt idx="34">
                  <c:v>13.860483179416512</c:v>
                </c:pt>
                <c:pt idx="35">
                  <c:v>13.31189675374171</c:v>
                </c:pt>
                <c:pt idx="36">
                  <c:v>13.31189675374171</c:v>
                </c:pt>
                <c:pt idx="37">
                  <c:v>13.31189675374171</c:v>
                </c:pt>
                <c:pt idx="38">
                  <c:v>12.763310328066904</c:v>
                </c:pt>
                <c:pt idx="39">
                  <c:v>12.2147239023921</c:v>
                </c:pt>
                <c:pt idx="40">
                  <c:v>12.2147239023921</c:v>
                </c:pt>
                <c:pt idx="41">
                  <c:v>12.2147239023921</c:v>
                </c:pt>
                <c:pt idx="42">
                  <c:v>11.666137476717298</c:v>
                </c:pt>
                <c:pt idx="43">
                  <c:v>11.117551051042495</c:v>
                </c:pt>
                <c:pt idx="44">
                  <c:v>10.568964625367693</c:v>
                </c:pt>
                <c:pt idx="45">
                  <c:v>9.7775981966023728</c:v>
                </c:pt>
                <c:pt idx="46">
                  <c:v>9.1076294281770185</c:v>
                </c:pt>
                <c:pt idx="47">
                  <c:v>8.4376606597516641</c:v>
                </c:pt>
                <c:pt idx="48">
                  <c:v>7.7676918913263089</c:v>
                </c:pt>
                <c:pt idx="49">
                  <c:v>7.0977231229009563</c:v>
                </c:pt>
                <c:pt idx="50">
                  <c:v>6.4277543544756028</c:v>
                </c:pt>
                <c:pt idx="51">
                  <c:v>5.7577855860502485</c:v>
                </c:pt>
                <c:pt idx="52">
                  <c:v>5.087816817624895</c:v>
                </c:pt>
                <c:pt idx="53">
                  <c:v>4.6893065274005012</c:v>
                </c:pt>
                <c:pt idx="54">
                  <c:v>4.3608421396218899</c:v>
                </c:pt>
                <c:pt idx="55">
                  <c:v>4.0323777518432768</c:v>
                </c:pt>
                <c:pt idx="56">
                  <c:v>3.7039133640646669</c:v>
                </c:pt>
                <c:pt idx="57">
                  <c:v>3.3754489762860542</c:v>
                </c:pt>
                <c:pt idx="58">
                  <c:v>3.0469845885074429</c:v>
                </c:pt>
                <c:pt idx="59">
                  <c:v>2.7185202007288316</c:v>
                </c:pt>
                <c:pt idx="60">
                  <c:v>2.3900558129502203</c:v>
                </c:pt>
                <c:pt idx="61">
                  <c:v>2.061591425171609</c:v>
                </c:pt>
                <c:pt idx="62">
                  <c:v>1.862162669882012</c:v>
                </c:pt>
                <c:pt idx="63">
                  <c:v>1.7357908175038019</c:v>
                </c:pt>
                <c:pt idx="64">
                  <c:v>1.6094189651255919</c:v>
                </c:pt>
                <c:pt idx="65">
                  <c:v>1.4830471127473812</c:v>
                </c:pt>
                <c:pt idx="66">
                  <c:v>1.3566752603691707</c:v>
                </c:pt>
                <c:pt idx="67">
                  <c:v>1.2303034079909603</c:v>
                </c:pt>
                <c:pt idx="68">
                  <c:v>1.1039315556127502</c:v>
                </c:pt>
                <c:pt idx="69">
                  <c:v>0.97755970323453978</c:v>
                </c:pt>
                <c:pt idx="70">
                  <c:v>0.85118785085632942</c:v>
                </c:pt>
                <c:pt idx="71">
                  <c:v>0.72481599847811906</c:v>
                </c:pt>
                <c:pt idx="72">
                  <c:v>0.60323866898131839</c:v>
                </c:pt>
                <c:pt idx="73">
                  <c:v>0.56572267929642683</c:v>
                </c:pt>
                <c:pt idx="74">
                  <c:v>0.52820668961153527</c:v>
                </c:pt>
                <c:pt idx="75">
                  <c:v>0.49069069992664366</c:v>
                </c:pt>
                <c:pt idx="76">
                  <c:v>0.4531747102417521</c:v>
                </c:pt>
                <c:pt idx="77">
                  <c:v>0.41565872055686054</c:v>
                </c:pt>
                <c:pt idx="78">
                  <c:v>0.37814273087196892</c:v>
                </c:pt>
                <c:pt idx="79">
                  <c:v>0.34062674118707742</c:v>
                </c:pt>
                <c:pt idx="80">
                  <c:v>0.30311075150218592</c:v>
                </c:pt>
                <c:pt idx="81">
                  <c:v>0.2655947618172943</c:v>
                </c:pt>
                <c:pt idx="82">
                  <c:v>0.22807877213240274</c:v>
                </c:pt>
                <c:pt idx="83">
                  <c:v>0.19056278244751115</c:v>
                </c:pt>
                <c:pt idx="84">
                  <c:v>0.15304679276261962</c:v>
                </c:pt>
                <c:pt idx="85">
                  <c:v>0.13931899149258298</c:v>
                </c:pt>
                <c:pt idx="86">
                  <c:v>0.13086543157878139</c:v>
                </c:pt>
                <c:pt idx="87">
                  <c:v>0.12241187166497981</c:v>
                </c:pt>
                <c:pt idx="88">
                  <c:v>0.11395831175117822</c:v>
                </c:pt>
                <c:pt idx="89">
                  <c:v>0.10550475183737662</c:v>
                </c:pt>
                <c:pt idx="90">
                  <c:v>9.7051191923574989E-2</c:v>
                </c:pt>
                <c:pt idx="91">
                  <c:v>8.85976320097734E-2</c:v>
                </c:pt>
                <c:pt idx="92">
                  <c:v>8.0144072095971824E-2</c:v>
                </c:pt>
                <c:pt idx="93">
                  <c:v>7.1690512182170235E-2</c:v>
                </c:pt>
                <c:pt idx="94">
                  <c:v>6.3236952268368632E-2</c:v>
                </c:pt>
                <c:pt idx="95">
                  <c:v>5.4783392354567029E-2</c:v>
                </c:pt>
                <c:pt idx="96">
                  <c:v>4.6329832440765439E-2</c:v>
                </c:pt>
                <c:pt idx="97">
                  <c:v>3.7876272526963829E-2</c:v>
                </c:pt>
                <c:pt idx="98">
                  <c:v>2.942271261316225E-2</c:v>
                </c:pt>
                <c:pt idx="99">
                  <c:v>2.571797877448186E-2</c:v>
                </c:pt>
                <c:pt idx="100">
                  <c:v>2.4302967448755017E-2</c:v>
                </c:pt>
                <c:pt idx="101">
                  <c:v>2.2887956123028172E-2</c:v>
                </c:pt>
                <c:pt idx="102">
                  <c:v>2.1472944797301326E-2</c:v>
                </c:pt>
                <c:pt idx="103">
                  <c:v>2.0057933471574481E-2</c:v>
                </c:pt>
                <c:pt idx="104">
                  <c:v>1.8642922145847639E-2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A0B-4B2B-8A7B-C4A7A90A683C}"/>
            </c:ext>
          </c:extLst>
        </c:ser>
        <c:ser>
          <c:idx val="1"/>
          <c:order val="1"/>
          <c:tx>
            <c:strRef>
              <c:f>Analysis!$E$50</c:f>
              <c:strCache>
                <c:ptCount val="1"/>
                <c:pt idx="0">
                  <c:v>Black-Scholes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Analysis!$C$51:$C$155</c:f>
              <c:numCache>
                <c:formatCode>General</c:formatCode>
                <c:ptCount val="105"/>
                <c:pt idx="0">
                  <c:v>39</c:v>
                </c:pt>
                <c:pt idx="1">
                  <c:v>41</c:v>
                </c:pt>
                <c:pt idx="2">
                  <c:v>43</c:v>
                </c:pt>
                <c:pt idx="3">
                  <c:v>45</c:v>
                </c:pt>
                <c:pt idx="4">
                  <c:v>47</c:v>
                </c:pt>
                <c:pt idx="5">
                  <c:v>49</c:v>
                </c:pt>
                <c:pt idx="6">
                  <c:v>51</c:v>
                </c:pt>
                <c:pt idx="7">
                  <c:v>53</c:v>
                </c:pt>
                <c:pt idx="8">
                  <c:v>55</c:v>
                </c:pt>
                <c:pt idx="9">
                  <c:v>57</c:v>
                </c:pt>
                <c:pt idx="10">
                  <c:v>59</c:v>
                </c:pt>
                <c:pt idx="11">
                  <c:v>61</c:v>
                </c:pt>
                <c:pt idx="12">
                  <c:v>63</c:v>
                </c:pt>
                <c:pt idx="13">
                  <c:v>65</c:v>
                </c:pt>
                <c:pt idx="14">
                  <c:v>67</c:v>
                </c:pt>
                <c:pt idx="15">
                  <c:v>69</c:v>
                </c:pt>
                <c:pt idx="16">
                  <c:v>71</c:v>
                </c:pt>
                <c:pt idx="17">
                  <c:v>73</c:v>
                </c:pt>
                <c:pt idx="18">
                  <c:v>75</c:v>
                </c:pt>
                <c:pt idx="19">
                  <c:v>77</c:v>
                </c:pt>
                <c:pt idx="20">
                  <c:v>79</c:v>
                </c:pt>
                <c:pt idx="21">
                  <c:v>81</c:v>
                </c:pt>
                <c:pt idx="22">
                  <c:v>83</c:v>
                </c:pt>
                <c:pt idx="23">
                  <c:v>85</c:v>
                </c:pt>
                <c:pt idx="24">
                  <c:v>87</c:v>
                </c:pt>
                <c:pt idx="25">
                  <c:v>89</c:v>
                </c:pt>
                <c:pt idx="26">
                  <c:v>91</c:v>
                </c:pt>
                <c:pt idx="27">
                  <c:v>91.5</c:v>
                </c:pt>
                <c:pt idx="28">
                  <c:v>92</c:v>
                </c:pt>
                <c:pt idx="29">
                  <c:v>92.5</c:v>
                </c:pt>
                <c:pt idx="30">
                  <c:v>93</c:v>
                </c:pt>
                <c:pt idx="31">
                  <c:v>93.5</c:v>
                </c:pt>
                <c:pt idx="32">
                  <c:v>94</c:v>
                </c:pt>
                <c:pt idx="33">
                  <c:v>94.5</c:v>
                </c:pt>
                <c:pt idx="34">
                  <c:v>95</c:v>
                </c:pt>
                <c:pt idx="35">
                  <c:v>95.5</c:v>
                </c:pt>
                <c:pt idx="36">
                  <c:v>96</c:v>
                </c:pt>
                <c:pt idx="37">
                  <c:v>96.5</c:v>
                </c:pt>
                <c:pt idx="38">
                  <c:v>97</c:v>
                </c:pt>
                <c:pt idx="39">
                  <c:v>97.5</c:v>
                </c:pt>
                <c:pt idx="40">
                  <c:v>98</c:v>
                </c:pt>
                <c:pt idx="41">
                  <c:v>98.5</c:v>
                </c:pt>
                <c:pt idx="42">
                  <c:v>99</c:v>
                </c:pt>
                <c:pt idx="43">
                  <c:v>99.5</c:v>
                </c:pt>
                <c:pt idx="44">
                  <c:v>101</c:v>
                </c:pt>
                <c:pt idx="45">
                  <c:v>103</c:v>
                </c:pt>
                <c:pt idx="46">
                  <c:v>105</c:v>
                </c:pt>
                <c:pt idx="47">
                  <c:v>107</c:v>
                </c:pt>
                <c:pt idx="48">
                  <c:v>109</c:v>
                </c:pt>
                <c:pt idx="49">
                  <c:v>111</c:v>
                </c:pt>
                <c:pt idx="50">
                  <c:v>113</c:v>
                </c:pt>
                <c:pt idx="51">
                  <c:v>115</c:v>
                </c:pt>
                <c:pt idx="52">
                  <c:v>117</c:v>
                </c:pt>
                <c:pt idx="53">
                  <c:v>119</c:v>
                </c:pt>
                <c:pt idx="54">
                  <c:v>121</c:v>
                </c:pt>
                <c:pt idx="55">
                  <c:v>123</c:v>
                </c:pt>
                <c:pt idx="56">
                  <c:v>125</c:v>
                </c:pt>
                <c:pt idx="57">
                  <c:v>127</c:v>
                </c:pt>
                <c:pt idx="58">
                  <c:v>129</c:v>
                </c:pt>
                <c:pt idx="59">
                  <c:v>131</c:v>
                </c:pt>
                <c:pt idx="60">
                  <c:v>133</c:v>
                </c:pt>
                <c:pt idx="61">
                  <c:v>135</c:v>
                </c:pt>
                <c:pt idx="62">
                  <c:v>137</c:v>
                </c:pt>
                <c:pt idx="63">
                  <c:v>139</c:v>
                </c:pt>
                <c:pt idx="64">
                  <c:v>141</c:v>
                </c:pt>
                <c:pt idx="65">
                  <c:v>143</c:v>
                </c:pt>
                <c:pt idx="66">
                  <c:v>145</c:v>
                </c:pt>
                <c:pt idx="67">
                  <c:v>147</c:v>
                </c:pt>
                <c:pt idx="68">
                  <c:v>149</c:v>
                </c:pt>
                <c:pt idx="69">
                  <c:v>151</c:v>
                </c:pt>
                <c:pt idx="70">
                  <c:v>153</c:v>
                </c:pt>
                <c:pt idx="71">
                  <c:v>155</c:v>
                </c:pt>
                <c:pt idx="72">
                  <c:v>157</c:v>
                </c:pt>
                <c:pt idx="73">
                  <c:v>159</c:v>
                </c:pt>
                <c:pt idx="74">
                  <c:v>161</c:v>
                </c:pt>
                <c:pt idx="75">
                  <c:v>163</c:v>
                </c:pt>
                <c:pt idx="76">
                  <c:v>165</c:v>
                </c:pt>
                <c:pt idx="77">
                  <c:v>167</c:v>
                </c:pt>
                <c:pt idx="78">
                  <c:v>169</c:v>
                </c:pt>
                <c:pt idx="79">
                  <c:v>171</c:v>
                </c:pt>
                <c:pt idx="80">
                  <c:v>173</c:v>
                </c:pt>
                <c:pt idx="81">
                  <c:v>175</c:v>
                </c:pt>
                <c:pt idx="82">
                  <c:v>177</c:v>
                </c:pt>
                <c:pt idx="83">
                  <c:v>179</c:v>
                </c:pt>
                <c:pt idx="84">
                  <c:v>181</c:v>
                </c:pt>
                <c:pt idx="85">
                  <c:v>183</c:v>
                </c:pt>
                <c:pt idx="86">
                  <c:v>185</c:v>
                </c:pt>
                <c:pt idx="87">
                  <c:v>187</c:v>
                </c:pt>
                <c:pt idx="88">
                  <c:v>189</c:v>
                </c:pt>
                <c:pt idx="89">
                  <c:v>191</c:v>
                </c:pt>
                <c:pt idx="90">
                  <c:v>193</c:v>
                </c:pt>
                <c:pt idx="91">
                  <c:v>195</c:v>
                </c:pt>
                <c:pt idx="92">
                  <c:v>197</c:v>
                </c:pt>
                <c:pt idx="93">
                  <c:v>199</c:v>
                </c:pt>
                <c:pt idx="94">
                  <c:v>201</c:v>
                </c:pt>
                <c:pt idx="95">
                  <c:v>203</c:v>
                </c:pt>
                <c:pt idx="96">
                  <c:v>205</c:v>
                </c:pt>
                <c:pt idx="97">
                  <c:v>207</c:v>
                </c:pt>
                <c:pt idx="98">
                  <c:v>209</c:v>
                </c:pt>
                <c:pt idx="99">
                  <c:v>211</c:v>
                </c:pt>
                <c:pt idx="100">
                  <c:v>213</c:v>
                </c:pt>
                <c:pt idx="101">
                  <c:v>215</c:v>
                </c:pt>
                <c:pt idx="102">
                  <c:v>217</c:v>
                </c:pt>
                <c:pt idx="103">
                  <c:v>219</c:v>
                </c:pt>
                <c:pt idx="104">
                  <c:v>221</c:v>
                </c:pt>
              </c:numCache>
            </c:numRef>
          </c:xVal>
          <c:yVal>
            <c:numRef>
              <c:f>Analysis!$E$51:$E$155</c:f>
              <c:numCache>
                <c:formatCode>General</c:formatCode>
                <c:ptCount val="105"/>
                <c:pt idx="0">
                  <c:v>61.602799892528424</c:v>
                </c:pt>
                <c:pt idx="1">
                  <c:v>59.634384470550899</c:v>
                </c:pt>
                <c:pt idx="2">
                  <c:v>57.666616396059844</c:v>
                </c:pt>
                <c:pt idx="3">
                  <c:v>55.699942537968958</c:v>
                </c:pt>
                <c:pt idx="4">
                  <c:v>53.735022140511873</c:v>
                </c:pt>
                <c:pt idx="5">
                  <c:v>51.772781130869497</c:v>
                </c:pt>
                <c:pt idx="6">
                  <c:v>49.814463781954068</c:v>
                </c:pt>
                <c:pt idx="7">
                  <c:v>47.861676649994031</c:v>
                </c:pt>
                <c:pt idx="8">
                  <c:v>45.916419999853176</c:v>
                </c:pt>
                <c:pt idx="9">
                  <c:v>43.98110281855503</c:v>
                </c:pt>
                <c:pt idx="10">
                  <c:v>42.058538850509613</c:v>
                </c:pt>
                <c:pt idx="11">
                  <c:v>40.151922665731306</c:v>
                </c:pt>
                <c:pt idx="12">
                  <c:v>38.264786384004253</c:v>
                </c:pt>
                <c:pt idx="13">
                  <c:v>36.40093913709584</c:v>
                </c:pt>
                <c:pt idx="14">
                  <c:v>34.564392518589948</c:v>
                </c:pt>
                <c:pt idx="15">
                  <c:v>32.759276064762588</c:v>
                </c:pt>
                <c:pt idx="16">
                  <c:v>30.98974720437058</c:v>
                </c:pt>
                <c:pt idx="17">
                  <c:v>29.259900131873458</c:v>
                </c:pt>
                <c:pt idx="18">
                  <c:v>27.57367775349659</c:v>
                </c:pt>
                <c:pt idx="19">
                  <c:v>25.934790305077431</c:v>
                </c:pt>
                <c:pt idx="20">
                  <c:v>24.346643528734578</c:v>
                </c:pt>
                <c:pt idx="21">
                  <c:v>22.812278503146825</c:v>
                </c:pt>
                <c:pt idx="22">
                  <c:v>21.334324420632889</c:v>
                </c:pt>
                <c:pt idx="23">
                  <c:v>19.914964850006466</c:v>
                </c:pt>
                <c:pt idx="24">
                  <c:v>18.555917358185638</c:v>
                </c:pt>
                <c:pt idx="25">
                  <c:v>17.258425811127523</c:v>
                </c:pt>
                <c:pt idx="26">
                  <c:v>16.023264247481979</c:v>
                </c:pt>
                <c:pt idx="27">
                  <c:v>15.42917389971832</c:v>
                </c:pt>
                <c:pt idx="28">
                  <c:v>15.42917389971832</c:v>
                </c:pt>
                <c:pt idx="29">
                  <c:v>15.42917389971832</c:v>
                </c:pt>
                <c:pt idx="30">
                  <c:v>14.850750916850078</c:v>
                </c:pt>
                <c:pt idx="31">
                  <c:v>14.287967577594443</c:v>
                </c:pt>
                <c:pt idx="32">
                  <c:v>14.287967577594443</c:v>
                </c:pt>
                <c:pt idx="33">
                  <c:v>14.287967577594443</c:v>
                </c:pt>
                <c:pt idx="34">
                  <c:v>13.740770890715178</c:v>
                </c:pt>
                <c:pt idx="35">
                  <c:v>13.209083652697963</c:v>
                </c:pt>
                <c:pt idx="36">
                  <c:v>13.209083652697963</c:v>
                </c:pt>
                <c:pt idx="37">
                  <c:v>13.209083652697963</c:v>
                </c:pt>
                <c:pt idx="38">
                  <c:v>12.692805574319072</c:v>
                </c:pt>
                <c:pt idx="39">
                  <c:v>12.191814463835778</c:v>
                </c:pt>
                <c:pt idx="40">
                  <c:v>12.191814463835778</c:v>
                </c:pt>
                <c:pt idx="41">
                  <c:v>12.191814463835778</c:v>
                </c:pt>
                <c:pt idx="42">
                  <c:v>11.705967455040035</c:v>
                </c:pt>
                <c:pt idx="43">
                  <c:v>11.23510226900313</c:v>
                </c:pt>
                <c:pt idx="44">
                  <c:v>10.779038498983725</c:v>
                </c:pt>
                <c:pt idx="45">
                  <c:v>9.9105107345724193</c:v>
                </c:pt>
                <c:pt idx="46">
                  <c:v>9.0986277233113508</c:v>
                </c:pt>
                <c:pt idx="47">
                  <c:v>8.3414257990534573</c:v>
                </c:pt>
                <c:pt idx="48">
                  <c:v>7.6367741457888147</c:v>
                </c:pt>
                <c:pt idx="49">
                  <c:v>6.9824129705464113</c:v>
                </c:pt>
                <c:pt idx="50">
                  <c:v>6.3759892050947009</c:v>
                </c:pt>
                <c:pt idx="51">
                  <c:v>5.8150893326189923</c:v>
                </c:pt>
                <c:pt idx="52">
                  <c:v>5.2972690801791176</c:v>
                </c:pt>
                <c:pt idx="53">
                  <c:v>4.8200798428216052</c:v>
                </c:pt>
                <c:pt idx="54">
                  <c:v>4.3810918102952519</c:v>
                </c:pt>
                <c:pt idx="55">
                  <c:v>3.9779138529107283</c:v>
                </c:pt>
                <c:pt idx="56">
                  <c:v>3.608210290381483</c:v>
                </c:pt>
                <c:pt idx="57">
                  <c:v>3.2697147181329331</c:v>
                </c:pt>
                <c:pt idx="58">
                  <c:v>2.9602411014706673</c:v>
                </c:pt>
                <c:pt idx="59">
                  <c:v>2.677692371177558</c:v>
                </c:pt>
                <c:pt idx="60">
                  <c:v>2.4200667665743247</c:v>
                </c:pt>
                <c:pt idx="61">
                  <c:v>2.1854621757584254</c:v>
                </c:pt>
                <c:pt idx="62">
                  <c:v>1.9720787194151932</c:v>
                </c:pt>
                <c:pt idx="63">
                  <c:v>1.7782198158807776</c:v>
                </c:pt>
                <c:pt idx="64">
                  <c:v>1.6022919524395991</c:v>
                </c:pt>
                <c:pt idx="65">
                  <c:v>1.4428033723743852</c:v>
                </c:pt>
                <c:pt idx="66">
                  <c:v>1.2983618700710831</c:v>
                </c:pt>
                <c:pt idx="67">
                  <c:v>1.1676718683517138</c:v>
                </c:pt>
                <c:pt idx="68">
                  <c:v>1.0495309338360239</c:v>
                </c:pt>
                <c:pt idx="69">
                  <c:v>0.94282586803849922</c:v>
                </c:pt>
                <c:pt idx="70">
                  <c:v>0.84652849448570588</c:v>
                </c:pt>
                <c:pt idx="71">
                  <c:v>0.7596912456725915</c:v>
                </c:pt>
                <c:pt idx="72">
                  <c:v>0.68144263835667107</c:v>
                </c:pt>
                <c:pt idx="73">
                  <c:v>0.61098271163201234</c:v>
                </c:pt>
                <c:pt idx="74">
                  <c:v>0.54757848948624954</c:v>
                </c:pt>
                <c:pt idx="75">
                  <c:v>0.49055951813050525</c:v>
                </c:pt>
                <c:pt idx="76">
                  <c:v>0.43931351827718895</c:v>
                </c:pt>
                <c:pt idx="77">
                  <c:v>0.39328218366842022</c:v>
                </c:pt>
                <c:pt idx="78">
                  <c:v>0.35195714945573298</c:v>
                </c:pt>
                <c:pt idx="79">
                  <c:v>0.31487614741416703</c:v>
                </c:pt>
                <c:pt idx="80">
                  <c:v>0.28161935934918014</c:v>
                </c:pt>
                <c:pt idx="81">
                  <c:v>0.25180597532805038</c:v>
                </c:pt>
                <c:pt idx="82">
                  <c:v>0.22509095944462529</c:v>
                </c:pt>
                <c:pt idx="83">
                  <c:v>0.20116202261609467</c:v>
                </c:pt>
                <c:pt idx="84">
                  <c:v>0.17973679932572437</c:v>
                </c:pt>
                <c:pt idx="85">
                  <c:v>0.16056022318547244</c:v>
                </c:pt>
                <c:pt idx="86">
                  <c:v>0.14340209462157763</c:v>
                </c:pt>
                <c:pt idx="87">
                  <c:v>0.12805483281671612</c:v>
                </c:pt>
                <c:pt idx="88">
                  <c:v>0.11433140321209652</c:v>
                </c:pt>
                <c:pt idx="89">
                  <c:v>0.10206341132735745</c:v>
                </c:pt>
                <c:pt idx="90">
                  <c:v>9.1099353346055775E-2</c:v>
                </c:pt>
                <c:pt idx="91">
                  <c:v>8.130301379764597E-2</c:v>
                </c:pt>
                <c:pt idx="92">
                  <c:v>7.2552000705649239E-2</c:v>
                </c:pt>
                <c:pt idx="93">
                  <c:v>6.4736408734033454E-2</c:v>
                </c:pt>
                <c:pt idx="94">
                  <c:v>5.7757601122394815E-2</c:v>
                </c:pt>
                <c:pt idx="95">
                  <c:v>5.1527101531631793E-2</c:v>
                </c:pt>
                <c:pt idx="96">
                  <c:v>4.5965587306003267E-2</c:v>
                </c:pt>
                <c:pt idx="97">
                  <c:v>4.1001976078178751E-2</c:v>
                </c:pt>
                <c:pt idx="98">
                  <c:v>3.6572598087539071E-2</c:v>
                </c:pt>
                <c:pt idx="99">
                  <c:v>3.2620447037537921E-2</c:v>
                </c:pt>
                <c:pt idx="100">
                  <c:v>2.9094502776297437E-2</c:v>
                </c:pt>
                <c:pt idx="101">
                  <c:v>2.5949119538821067E-2</c:v>
                </c:pt>
                <c:pt idx="102">
                  <c:v>2.3143473933521282E-2</c:v>
                </c:pt>
                <c:pt idx="103">
                  <c:v>2.0641067286087125E-2</c:v>
                </c:pt>
                <c:pt idx="104">
                  <c:v>1.840927736682374E-2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A0B-4B2B-8A7B-C4A7A90A68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175936"/>
        <c:axId val="371176896"/>
      </c:scatterChart>
      <c:scatterChart>
        <c:scatterStyle val="lineMarker"/>
        <c:varyColors val="0"/>
        <c:ser>
          <c:idx val="2"/>
          <c:order val="2"/>
          <c:tx>
            <c:strRef>
              <c:f>Analysis!$F$50</c:f>
              <c:strCache>
                <c:ptCount val="1"/>
                <c:pt idx="0">
                  <c:v>Convergence avec Black-Scholes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Analysis!$C$51:$C$155</c:f>
              <c:numCache>
                <c:formatCode>General</c:formatCode>
                <c:ptCount val="105"/>
                <c:pt idx="0">
                  <c:v>39</c:v>
                </c:pt>
                <c:pt idx="1">
                  <c:v>41</c:v>
                </c:pt>
                <c:pt idx="2">
                  <c:v>43</c:v>
                </c:pt>
                <c:pt idx="3">
                  <c:v>45</c:v>
                </c:pt>
                <c:pt idx="4">
                  <c:v>47</c:v>
                </c:pt>
                <c:pt idx="5">
                  <c:v>49</c:v>
                </c:pt>
                <c:pt idx="6">
                  <c:v>51</c:v>
                </c:pt>
                <c:pt idx="7">
                  <c:v>53</c:v>
                </c:pt>
                <c:pt idx="8">
                  <c:v>55</c:v>
                </c:pt>
                <c:pt idx="9">
                  <c:v>57</c:v>
                </c:pt>
                <c:pt idx="10">
                  <c:v>59</c:v>
                </c:pt>
                <c:pt idx="11">
                  <c:v>61</c:v>
                </c:pt>
                <c:pt idx="12">
                  <c:v>63</c:v>
                </c:pt>
                <c:pt idx="13">
                  <c:v>65</c:v>
                </c:pt>
                <c:pt idx="14">
                  <c:v>67</c:v>
                </c:pt>
                <c:pt idx="15">
                  <c:v>69</c:v>
                </c:pt>
                <c:pt idx="16">
                  <c:v>71</c:v>
                </c:pt>
                <c:pt idx="17">
                  <c:v>73</c:v>
                </c:pt>
                <c:pt idx="18">
                  <c:v>75</c:v>
                </c:pt>
                <c:pt idx="19">
                  <c:v>77</c:v>
                </c:pt>
                <c:pt idx="20">
                  <c:v>79</c:v>
                </c:pt>
                <c:pt idx="21">
                  <c:v>81</c:v>
                </c:pt>
                <c:pt idx="22">
                  <c:v>83</c:v>
                </c:pt>
                <c:pt idx="23">
                  <c:v>85</c:v>
                </c:pt>
                <c:pt idx="24">
                  <c:v>87</c:v>
                </c:pt>
                <c:pt idx="25">
                  <c:v>89</c:v>
                </c:pt>
                <c:pt idx="26">
                  <c:v>91</c:v>
                </c:pt>
                <c:pt idx="27">
                  <c:v>91.5</c:v>
                </c:pt>
                <c:pt idx="28">
                  <c:v>92</c:v>
                </c:pt>
                <c:pt idx="29">
                  <c:v>92.5</c:v>
                </c:pt>
                <c:pt idx="30">
                  <c:v>93</c:v>
                </c:pt>
                <c:pt idx="31">
                  <c:v>93.5</c:v>
                </c:pt>
                <c:pt idx="32">
                  <c:v>94</c:v>
                </c:pt>
                <c:pt idx="33">
                  <c:v>94.5</c:v>
                </c:pt>
                <c:pt idx="34">
                  <c:v>95</c:v>
                </c:pt>
                <c:pt idx="35">
                  <c:v>95.5</c:v>
                </c:pt>
                <c:pt idx="36">
                  <c:v>96</c:v>
                </c:pt>
                <c:pt idx="37">
                  <c:v>96.5</c:v>
                </c:pt>
                <c:pt idx="38">
                  <c:v>97</c:v>
                </c:pt>
                <c:pt idx="39">
                  <c:v>97.5</c:v>
                </c:pt>
                <c:pt idx="40">
                  <c:v>98</c:v>
                </c:pt>
                <c:pt idx="41">
                  <c:v>98.5</c:v>
                </c:pt>
                <c:pt idx="42">
                  <c:v>99</c:v>
                </c:pt>
                <c:pt idx="43">
                  <c:v>99.5</c:v>
                </c:pt>
                <c:pt idx="44">
                  <c:v>101</c:v>
                </c:pt>
                <c:pt idx="45">
                  <c:v>103</c:v>
                </c:pt>
                <c:pt idx="46">
                  <c:v>105</c:v>
                </c:pt>
                <c:pt idx="47">
                  <c:v>107</c:v>
                </c:pt>
                <c:pt idx="48">
                  <c:v>109</c:v>
                </c:pt>
                <c:pt idx="49">
                  <c:v>111</c:v>
                </c:pt>
                <c:pt idx="50">
                  <c:v>113</c:v>
                </c:pt>
                <c:pt idx="51">
                  <c:v>115</c:v>
                </c:pt>
                <c:pt idx="52">
                  <c:v>117</c:v>
                </c:pt>
                <c:pt idx="53">
                  <c:v>119</c:v>
                </c:pt>
                <c:pt idx="54">
                  <c:v>121</c:v>
                </c:pt>
                <c:pt idx="55">
                  <c:v>123</c:v>
                </c:pt>
                <c:pt idx="56">
                  <c:v>125</c:v>
                </c:pt>
                <c:pt idx="57">
                  <c:v>127</c:v>
                </c:pt>
                <c:pt idx="58">
                  <c:v>129</c:v>
                </c:pt>
                <c:pt idx="59">
                  <c:v>131</c:v>
                </c:pt>
                <c:pt idx="60">
                  <c:v>133</c:v>
                </c:pt>
                <c:pt idx="61">
                  <c:v>135</c:v>
                </c:pt>
                <c:pt idx="62">
                  <c:v>137</c:v>
                </c:pt>
                <c:pt idx="63">
                  <c:v>139</c:v>
                </c:pt>
                <c:pt idx="64">
                  <c:v>141</c:v>
                </c:pt>
                <c:pt idx="65">
                  <c:v>143</c:v>
                </c:pt>
                <c:pt idx="66">
                  <c:v>145</c:v>
                </c:pt>
                <c:pt idx="67">
                  <c:v>147</c:v>
                </c:pt>
                <c:pt idx="68">
                  <c:v>149</c:v>
                </c:pt>
                <c:pt idx="69">
                  <c:v>151</c:v>
                </c:pt>
                <c:pt idx="70">
                  <c:v>153</c:v>
                </c:pt>
                <c:pt idx="71">
                  <c:v>155</c:v>
                </c:pt>
                <c:pt idx="72">
                  <c:v>157</c:v>
                </c:pt>
                <c:pt idx="73">
                  <c:v>159</c:v>
                </c:pt>
                <c:pt idx="74">
                  <c:v>161</c:v>
                </c:pt>
                <c:pt idx="75">
                  <c:v>163</c:v>
                </c:pt>
                <c:pt idx="76">
                  <c:v>165</c:v>
                </c:pt>
                <c:pt idx="77">
                  <c:v>167</c:v>
                </c:pt>
                <c:pt idx="78">
                  <c:v>169</c:v>
                </c:pt>
                <c:pt idx="79">
                  <c:v>171</c:v>
                </c:pt>
                <c:pt idx="80">
                  <c:v>173</c:v>
                </c:pt>
                <c:pt idx="81">
                  <c:v>175</c:v>
                </c:pt>
                <c:pt idx="82">
                  <c:v>177</c:v>
                </c:pt>
                <c:pt idx="83">
                  <c:v>179</c:v>
                </c:pt>
                <c:pt idx="84">
                  <c:v>181</c:v>
                </c:pt>
                <c:pt idx="85">
                  <c:v>183</c:v>
                </c:pt>
                <c:pt idx="86">
                  <c:v>185</c:v>
                </c:pt>
                <c:pt idx="87">
                  <c:v>187</c:v>
                </c:pt>
                <c:pt idx="88">
                  <c:v>189</c:v>
                </c:pt>
                <c:pt idx="89">
                  <c:v>191</c:v>
                </c:pt>
                <c:pt idx="90">
                  <c:v>193</c:v>
                </c:pt>
                <c:pt idx="91">
                  <c:v>195</c:v>
                </c:pt>
                <c:pt idx="92">
                  <c:v>197</c:v>
                </c:pt>
                <c:pt idx="93">
                  <c:v>199</c:v>
                </c:pt>
                <c:pt idx="94">
                  <c:v>201</c:v>
                </c:pt>
                <c:pt idx="95">
                  <c:v>203</c:v>
                </c:pt>
                <c:pt idx="96">
                  <c:v>205</c:v>
                </c:pt>
                <c:pt idx="97">
                  <c:v>207</c:v>
                </c:pt>
                <c:pt idx="98">
                  <c:v>209</c:v>
                </c:pt>
                <c:pt idx="99">
                  <c:v>211</c:v>
                </c:pt>
                <c:pt idx="100">
                  <c:v>213</c:v>
                </c:pt>
                <c:pt idx="101">
                  <c:v>215</c:v>
                </c:pt>
                <c:pt idx="102">
                  <c:v>217</c:v>
                </c:pt>
                <c:pt idx="103">
                  <c:v>219</c:v>
                </c:pt>
                <c:pt idx="104">
                  <c:v>221</c:v>
                </c:pt>
              </c:numCache>
            </c:numRef>
          </c:xVal>
          <c:yVal>
            <c:numRef>
              <c:f>Analysis!$F$51:$F$155</c:f>
              <c:numCache>
                <c:formatCode>General</c:formatCode>
                <c:ptCount val="105"/>
                <c:pt idx="0">
                  <c:v>4.0526902679971499E-5</c:v>
                </c:pt>
                <c:pt idx="1">
                  <c:v>-1.8598654307311335E-4</c:v>
                </c:pt>
                <c:pt idx="2">
                  <c:v>-4.1676417014002709E-4</c:v>
                </c:pt>
                <c:pt idx="3">
                  <c:v>5.8545692293421325E-4</c:v>
                </c:pt>
                <c:pt idx="4">
                  <c:v>-1.6578261778477099E-4</c:v>
                </c:pt>
                <c:pt idx="5">
                  <c:v>-3.5964099732055388E-3</c:v>
                </c:pt>
                <c:pt idx="6">
                  <c:v>2.0793534560965554E-3</c:v>
                </c:pt>
                <c:pt idx="7">
                  <c:v>3.7233536865528549E-3</c:v>
                </c:pt>
                <c:pt idx="8">
                  <c:v>-2.1631279021860905E-3</c:v>
                </c:pt>
                <c:pt idx="9">
                  <c:v>-1.4904256259953286E-2</c:v>
                </c:pt>
                <c:pt idx="10">
                  <c:v>8.4111812253269136E-3</c:v>
                </c:pt>
                <c:pt idx="11">
                  <c:v>1.5778835443477135E-2</c:v>
                </c:pt>
                <c:pt idx="12">
                  <c:v>3.6665866103930966E-3</c:v>
                </c:pt>
                <c:pt idx="13">
                  <c:v>-3.1734697041336801E-2</c:v>
                </c:pt>
                <c:pt idx="14">
                  <c:v>-8.8587270685920316E-3</c:v>
                </c:pt>
                <c:pt idx="15">
                  <c:v>3.4264388030699422E-2</c:v>
                </c:pt>
                <c:pt idx="16">
                  <c:v>4.179990969463887E-2</c:v>
                </c:pt>
                <c:pt idx="17">
                  <c:v>9.6536434636966817E-3</c:v>
                </c:pt>
                <c:pt idx="18">
                  <c:v>-6.6117316887499555E-2</c:v>
                </c:pt>
                <c:pt idx="19">
                  <c:v>-5.5370242771566325E-2</c:v>
                </c:pt>
                <c:pt idx="20">
                  <c:v>4.0833953307352289E-2</c:v>
                </c:pt>
                <c:pt idx="21">
                  <c:v>8.3256398631167627E-2</c:v>
                </c:pt>
                <c:pt idx="22">
                  <c:v>6.926790088116519E-2</c:v>
                </c:pt>
                <c:pt idx="23">
                  <c:v>-3.315108756346774E-3</c:v>
                </c:pt>
                <c:pt idx="24">
                  <c:v>-0.13621019719945338</c:v>
                </c:pt>
                <c:pt idx="25">
                  <c:v>-0.10642407766219364</c:v>
                </c:pt>
                <c:pt idx="26">
                  <c:v>3.1564634633742372E-2</c:v>
                </c:pt>
                <c:pt idx="27">
                  <c:v>7.7068556722602821E-2</c:v>
                </c:pt>
                <c:pt idx="28">
                  <c:v>7.7068556722602821E-2</c:v>
                </c:pt>
                <c:pt idx="29">
                  <c:v>7.7068556722602821E-2</c:v>
                </c:pt>
                <c:pt idx="30">
                  <c:v>0.10690511391604041</c:v>
                </c:pt>
                <c:pt idx="31">
                  <c:v>0.12110202749687282</c:v>
                </c:pt>
                <c:pt idx="32">
                  <c:v>0.12110202749687282</c:v>
                </c:pt>
                <c:pt idx="33">
                  <c:v>0.12110202749687282</c:v>
                </c:pt>
                <c:pt idx="34">
                  <c:v>0.11971228870133466</c:v>
                </c:pt>
                <c:pt idx="35">
                  <c:v>0.10281310104374697</c:v>
                </c:pt>
                <c:pt idx="36">
                  <c:v>0.10281310104374697</c:v>
                </c:pt>
                <c:pt idx="37">
                  <c:v>0.10281310104374697</c:v>
                </c:pt>
                <c:pt idx="38">
                  <c:v>7.0504753747831828E-2</c:v>
                </c:pt>
                <c:pt idx="39">
                  <c:v>2.2909438556322215E-2</c:v>
                </c:pt>
                <c:pt idx="40">
                  <c:v>2.2909438556322215E-2</c:v>
                </c:pt>
                <c:pt idx="41">
                  <c:v>2.2909438556322215E-2</c:v>
                </c:pt>
                <c:pt idx="42">
                  <c:v>-3.9829978322737603E-2</c:v>
                </c:pt>
                <c:pt idx="43">
                  <c:v>-0.11755121796063506</c:v>
                </c:pt>
                <c:pt idx="44">
                  <c:v>-0.21007387361603236</c:v>
                </c:pt>
                <c:pt idx="45">
                  <c:v>-0.13291253797004643</c:v>
                </c:pt>
                <c:pt idx="46">
                  <c:v>9.0017048656676479E-3</c:v>
                </c:pt>
                <c:pt idx="47">
                  <c:v>9.6234860698206859E-2</c:v>
                </c:pt>
                <c:pt idx="48">
                  <c:v>0.13091774553749413</c:v>
                </c:pt>
                <c:pt idx="49">
                  <c:v>0.115310152354545</c:v>
                </c:pt>
                <c:pt idx="50">
                  <c:v>5.1765149380901931E-2</c:v>
                </c:pt>
                <c:pt idx="51">
                  <c:v>-5.7303746568743819E-2</c:v>
                </c:pt>
                <c:pt idx="52">
                  <c:v>-0.20945226255422256</c:v>
                </c:pt>
                <c:pt idx="53">
                  <c:v>-0.13077331542110393</c:v>
                </c:pt>
                <c:pt idx="54">
                  <c:v>-2.0249670673361919E-2</c:v>
                </c:pt>
                <c:pt idx="55">
                  <c:v>5.4463898932548549E-2</c:v>
                </c:pt>
                <c:pt idx="56">
                  <c:v>9.570307368318387E-2</c:v>
                </c:pt>
                <c:pt idx="57">
                  <c:v>0.1057342581531211</c:v>
                </c:pt>
                <c:pt idx="58">
                  <c:v>8.6743487036775591E-2</c:v>
                </c:pt>
                <c:pt idx="59">
                  <c:v>4.082782955127362E-2</c:v>
                </c:pt>
                <c:pt idx="60">
                  <c:v>-3.0010953624104442E-2</c:v>
                </c:pt>
                <c:pt idx="61">
                  <c:v>-0.1238707505868164</c:v>
                </c:pt>
                <c:pt idx="62">
                  <c:v>-0.10991604953318124</c:v>
                </c:pt>
                <c:pt idx="63">
                  <c:v>-4.2428998376975668E-2</c:v>
                </c:pt>
                <c:pt idx="64">
                  <c:v>7.1270126859928062E-3</c:v>
                </c:pt>
                <c:pt idx="65">
                  <c:v>4.0243740372996051E-2</c:v>
                </c:pt>
                <c:pt idx="66">
                  <c:v>5.8313390298087686E-2</c:v>
                </c:pt>
                <c:pt idx="67">
                  <c:v>6.2631539639246503E-2</c:v>
                </c:pt>
                <c:pt idx="68">
                  <c:v>5.4400621776726332E-2</c:v>
                </c:pt>
                <c:pt idx="69">
                  <c:v>3.4733835196040563E-2</c:v>
                </c:pt>
                <c:pt idx="70">
                  <c:v>4.6593563706235352E-3</c:v>
                </c:pt>
                <c:pt idx="71">
                  <c:v>-3.4875247194472436E-2</c:v>
                </c:pt>
                <c:pt idx="72">
                  <c:v>-7.8203969375352678E-2</c:v>
                </c:pt>
                <c:pt idx="73">
                  <c:v>-4.5260032335585509E-2</c:v>
                </c:pt>
                <c:pt idx="74">
                  <c:v>-1.9371799874714268E-2</c:v>
                </c:pt>
                <c:pt idx="75">
                  <c:v>1.3118179613841319E-4</c:v>
                </c:pt>
                <c:pt idx="76">
                  <c:v>1.3861191964563147E-2</c:v>
                </c:pt>
                <c:pt idx="77">
                  <c:v>2.2376536888440324E-2</c:v>
                </c:pt>
                <c:pt idx="78">
                  <c:v>2.6185581416235948E-2</c:v>
                </c:pt>
                <c:pt idx="79">
                  <c:v>2.5750593772910391E-2</c:v>
                </c:pt>
                <c:pt idx="80">
                  <c:v>2.1491392153005773E-2</c:v>
                </c:pt>
                <c:pt idx="81">
                  <c:v>1.378878648924392E-2</c:v>
                </c:pt>
                <c:pt idx="82">
                  <c:v>2.9878126877774525E-3</c:v>
                </c:pt>
                <c:pt idx="83">
                  <c:v>-1.0599240168583518E-2</c:v>
                </c:pt>
                <c:pt idx="84">
                  <c:v>-2.6690006563104746E-2</c:v>
                </c:pt>
                <c:pt idx="85">
                  <c:v>-2.1241231692889467E-2</c:v>
                </c:pt>
                <c:pt idx="86">
                  <c:v>-1.2536663042796242E-2</c:v>
                </c:pt>
                <c:pt idx="87">
                  <c:v>-5.642961151736306E-3</c:v>
                </c:pt>
                <c:pt idx="88">
                  <c:v>-3.7309146091829559E-4</c:v>
                </c:pt>
                <c:pt idx="89">
                  <c:v>3.4413405100191669E-3</c:v>
                </c:pt>
                <c:pt idx="90">
                  <c:v>5.951838577519214E-3</c:v>
                </c:pt>
                <c:pt idx="91">
                  <c:v>7.2946182121274294E-3</c:v>
                </c:pt>
                <c:pt idx="92">
                  <c:v>7.5920713903225856E-3</c:v>
                </c:pt>
                <c:pt idx="93">
                  <c:v>6.9541034481367808E-3</c:v>
                </c:pt>
                <c:pt idx="94">
                  <c:v>5.4793511459738167E-3</c:v>
                </c:pt>
                <c:pt idx="95">
                  <c:v>3.2562908229352358E-3</c:v>
                </c:pt>
                <c:pt idx="96">
                  <c:v>3.642451347621728E-4</c:v>
                </c:pt>
                <c:pt idx="97">
                  <c:v>-3.1257035512149214E-3</c:v>
                </c:pt>
                <c:pt idx="98">
                  <c:v>-7.1498854743768207E-3</c:v>
                </c:pt>
                <c:pt idx="99">
                  <c:v>-6.9024682630560615E-3</c:v>
                </c:pt>
                <c:pt idx="100">
                  <c:v>-4.7915353275424198E-3</c:v>
                </c:pt>
                <c:pt idx="101">
                  <c:v>-3.0611634157928953E-3</c:v>
                </c:pt>
                <c:pt idx="102">
                  <c:v>-1.6705291362199559E-3</c:v>
                </c:pt>
                <c:pt idx="103">
                  <c:v>-5.831338145126444E-4</c:v>
                </c:pt>
                <c:pt idx="104">
                  <c:v>2.3364477902389907E-4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A0B-4B2B-8A7B-C4A7A90A68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173056"/>
        <c:axId val="371182176"/>
      </c:scatterChart>
      <c:valAx>
        <c:axId val="371175936"/>
        <c:scaling>
          <c:orientation val="minMax"/>
          <c:max val="230"/>
          <c:min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176896"/>
        <c:crosses val="autoZero"/>
        <c:crossBetween val="midCat"/>
      </c:valAx>
      <c:valAx>
        <c:axId val="371176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175936"/>
        <c:crosses val="autoZero"/>
        <c:crossBetween val="midCat"/>
      </c:valAx>
      <c:valAx>
        <c:axId val="37118217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173056"/>
        <c:crosses val="max"/>
        <c:crossBetween val="midCat"/>
      </c:valAx>
      <c:valAx>
        <c:axId val="3711730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711821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(Tree - BS)</a:t>
            </a:r>
            <a:r>
              <a:rPr lang="fr-FR" baseline="0"/>
              <a:t> x NbSteps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Analysis!$F$18</c:f>
              <c:strCache>
                <c:ptCount val="1"/>
                <c:pt idx="0">
                  <c:v>Convergence avec Black-Scholes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Analysis!$C$19:$C$47</c:f>
              <c:numCache>
                <c:formatCode>General</c:formatCode>
                <c:ptCount val="29"/>
                <c:pt idx="0">
                  <c:v>5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120</c:v>
                </c:pt>
                <c:pt idx="12">
                  <c:v>140</c:v>
                </c:pt>
                <c:pt idx="13">
                  <c:v>160</c:v>
                </c:pt>
                <c:pt idx="14">
                  <c:v>180</c:v>
                </c:pt>
                <c:pt idx="15">
                  <c:v>200</c:v>
                </c:pt>
                <c:pt idx="16">
                  <c:v>220</c:v>
                </c:pt>
                <c:pt idx="17">
                  <c:v>240</c:v>
                </c:pt>
                <c:pt idx="18">
                  <c:v>260</c:v>
                </c:pt>
                <c:pt idx="19">
                  <c:v>280</c:v>
                </c:pt>
                <c:pt idx="20">
                  <c:v>300</c:v>
                </c:pt>
                <c:pt idx="21">
                  <c:v>320</c:v>
                </c:pt>
                <c:pt idx="22">
                  <c:v>340</c:v>
                </c:pt>
                <c:pt idx="23">
                  <c:v>360</c:v>
                </c:pt>
                <c:pt idx="24">
                  <c:v>380</c:v>
                </c:pt>
                <c:pt idx="25">
                  <c:v>400</c:v>
                </c:pt>
                <c:pt idx="26">
                  <c:v>450</c:v>
                </c:pt>
                <c:pt idx="27">
                  <c:v>500</c:v>
                </c:pt>
                <c:pt idx="28">
                  <c:v>550</c:v>
                </c:pt>
              </c:numCache>
            </c:numRef>
          </c:xVal>
          <c:yVal>
            <c:numRef>
              <c:f>Analysis!$F$19:$F$47</c:f>
              <c:numCache>
                <c:formatCode>General</c:formatCode>
                <c:ptCount val="29"/>
                <c:pt idx="0">
                  <c:v>7.1755010267551267E-2</c:v>
                </c:pt>
                <c:pt idx="1">
                  <c:v>7.9701060238899224E-2</c:v>
                </c:pt>
                <c:pt idx="2">
                  <c:v>-1.7037879822772162E-2</c:v>
                </c:pt>
                <c:pt idx="3">
                  <c:v>-0.16243546843148327</c:v>
                </c:pt>
                <c:pt idx="4">
                  <c:v>-3.4618560552512889E-2</c:v>
                </c:pt>
                <c:pt idx="5">
                  <c:v>4.0425333107241279E-2</c:v>
                </c:pt>
                <c:pt idx="6">
                  <c:v>7.6545182370919562E-2</c:v>
                </c:pt>
                <c:pt idx="7">
                  <c:v>8.2555420155867587E-2</c:v>
                </c:pt>
                <c:pt idx="8">
                  <c:v>6.4425038792617073E-2</c:v>
                </c:pt>
                <c:pt idx="9">
                  <c:v>2.640129814006853E-2</c:v>
                </c:pt>
                <c:pt idx="10">
                  <c:v>-2.8372915898322582E-2</c:v>
                </c:pt>
                <c:pt idx="11">
                  <c:v>-0.15576695507137472</c:v>
                </c:pt>
                <c:pt idx="12">
                  <c:v>-2.5343745291337427E-2</c:v>
                </c:pt>
                <c:pt idx="13">
                  <c:v>5.0839784555627432E-2</c:v>
                </c:pt>
                <c:pt idx="14">
                  <c:v>8.186826591173979E-2</c:v>
                </c:pt>
                <c:pt idx="15">
                  <c:v>7.460091238526978E-2</c:v>
                </c:pt>
                <c:pt idx="16">
                  <c:v>3.4350283081066024E-2</c:v>
                </c:pt>
                <c:pt idx="17">
                  <c:v>-3.4677734451342701E-2</c:v>
                </c:pt>
                <c:pt idx="18">
                  <c:v>-0.12909016780136451</c:v>
                </c:pt>
                <c:pt idx="19">
                  <c:v>-9.9962044862795807E-2</c:v>
                </c:pt>
                <c:pt idx="20">
                  <c:v>-1.9714683879534789E-2</c:v>
                </c:pt>
                <c:pt idx="21">
                  <c:v>3.6212055237143659E-2</c:v>
                </c:pt>
                <c:pt idx="22">
                  <c:v>6.9881906766133817E-2</c:v>
                </c:pt>
                <c:pt idx="23">
                  <c:v>8.3090164117436416E-2</c:v>
                </c:pt>
                <c:pt idx="24">
                  <c:v>7.7408809129613232E-2</c:v>
                </c:pt>
                <c:pt idx="25">
                  <c:v>5.4222626120026263E-2</c:v>
                </c:pt>
                <c:pt idx="26">
                  <c:v>-7.2602233365148816E-2</c:v>
                </c:pt>
                <c:pt idx="27">
                  <c:v>-7.2435291038730476E-2</c:v>
                </c:pt>
                <c:pt idx="28">
                  <c:v>4.5336658303296584E-2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E0E-43F0-99DC-E53EDBE94312}"/>
            </c:ext>
          </c:extLst>
        </c:ser>
        <c:ser>
          <c:idx val="1"/>
          <c:order val="1"/>
          <c:tx>
            <c:strRef>
              <c:f>Analysis!$G$18</c:f>
              <c:strCache>
                <c:ptCount val="1"/>
                <c:pt idx="0">
                  <c:v>Time Gap avec Black-Scholes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Analysis!$C$19:$C$47</c:f>
              <c:numCache>
                <c:formatCode>General</c:formatCode>
                <c:ptCount val="29"/>
                <c:pt idx="0">
                  <c:v>5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120</c:v>
                </c:pt>
                <c:pt idx="12">
                  <c:v>140</c:v>
                </c:pt>
                <c:pt idx="13">
                  <c:v>160</c:v>
                </c:pt>
                <c:pt idx="14">
                  <c:v>180</c:v>
                </c:pt>
                <c:pt idx="15">
                  <c:v>200</c:v>
                </c:pt>
                <c:pt idx="16">
                  <c:v>220</c:v>
                </c:pt>
                <c:pt idx="17">
                  <c:v>240</c:v>
                </c:pt>
                <c:pt idx="18">
                  <c:v>260</c:v>
                </c:pt>
                <c:pt idx="19">
                  <c:v>280</c:v>
                </c:pt>
                <c:pt idx="20">
                  <c:v>300</c:v>
                </c:pt>
                <c:pt idx="21">
                  <c:v>320</c:v>
                </c:pt>
                <c:pt idx="22">
                  <c:v>340</c:v>
                </c:pt>
                <c:pt idx="23">
                  <c:v>360</c:v>
                </c:pt>
                <c:pt idx="24">
                  <c:v>380</c:v>
                </c:pt>
                <c:pt idx="25">
                  <c:v>400</c:v>
                </c:pt>
                <c:pt idx="26">
                  <c:v>450</c:v>
                </c:pt>
                <c:pt idx="27">
                  <c:v>500</c:v>
                </c:pt>
                <c:pt idx="28">
                  <c:v>550</c:v>
                </c:pt>
              </c:numCache>
            </c:numRef>
          </c:xVal>
          <c:yVal>
            <c:numRef>
              <c:f>Analysis!$G$19:$G$47</c:f>
              <c:numCache>
                <c:formatCode>General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7.8125E-3</c:v>
                </c:pt>
                <c:pt idx="6">
                  <c:v>0</c:v>
                </c:pt>
                <c:pt idx="7">
                  <c:v>1.5625E-2</c:v>
                </c:pt>
                <c:pt idx="8">
                  <c:v>0</c:v>
                </c:pt>
                <c:pt idx="9">
                  <c:v>1.5625E-2</c:v>
                </c:pt>
                <c:pt idx="10">
                  <c:v>0</c:v>
                </c:pt>
                <c:pt idx="11">
                  <c:v>2.34375E-2</c:v>
                </c:pt>
                <c:pt idx="12">
                  <c:v>1.5625E-2</c:v>
                </c:pt>
                <c:pt idx="13">
                  <c:v>1.5625E-2</c:v>
                </c:pt>
                <c:pt idx="14">
                  <c:v>3.125E-2</c:v>
                </c:pt>
                <c:pt idx="15">
                  <c:v>1.5625E-2</c:v>
                </c:pt>
                <c:pt idx="16">
                  <c:v>1.5625E-2</c:v>
                </c:pt>
                <c:pt idx="17">
                  <c:v>1.5625E-2</c:v>
                </c:pt>
                <c:pt idx="18">
                  <c:v>3.125E-2</c:v>
                </c:pt>
                <c:pt idx="19">
                  <c:v>1.5625E-2</c:v>
                </c:pt>
                <c:pt idx="20">
                  <c:v>3.125E-2</c:v>
                </c:pt>
                <c:pt idx="21">
                  <c:v>3.125E-2</c:v>
                </c:pt>
                <c:pt idx="22">
                  <c:v>2.34375E-2</c:v>
                </c:pt>
                <c:pt idx="23">
                  <c:v>3.125E-2</c:v>
                </c:pt>
                <c:pt idx="24">
                  <c:v>3.90625E-2</c:v>
                </c:pt>
                <c:pt idx="25">
                  <c:v>3.125E-2</c:v>
                </c:pt>
                <c:pt idx="26">
                  <c:v>3.125E-2</c:v>
                </c:pt>
                <c:pt idx="27">
                  <c:v>6.25E-2</c:v>
                </c:pt>
                <c:pt idx="28">
                  <c:v>6.25E-2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E0E-43F0-99DC-E53EDBE943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307183"/>
        <c:axId val="221280783"/>
      </c:scatterChart>
      <c:valAx>
        <c:axId val="2213071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1280783"/>
        <c:crosses val="autoZero"/>
        <c:crossBetween val="midCat"/>
      </c:valAx>
      <c:valAx>
        <c:axId val="221280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130718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5177</xdr:colOff>
      <xdr:row>16</xdr:row>
      <xdr:rowOff>10134</xdr:rowOff>
    </xdr:from>
    <xdr:to>
      <xdr:col>7</xdr:col>
      <xdr:colOff>752839</xdr:colOff>
      <xdr:row>22</xdr:row>
      <xdr:rowOff>172261</xdr:rowOff>
    </xdr:to>
    <xdr:sp macro="[0]!Main.main" textlink="">
      <xdr:nvSpPr>
        <xdr:cNvPr id="2" name="Rectangle 1">
          <a:extLst>
            <a:ext uri="{FF2B5EF4-FFF2-40B4-BE49-F238E27FC236}">
              <a16:creationId xmlns:a16="http://schemas.microsoft.com/office/drawing/2014/main" id="{ADA7713D-4A72-BD48-7485-910048201F10}"/>
            </a:ext>
          </a:extLst>
        </xdr:cNvPr>
        <xdr:cNvSpPr/>
      </xdr:nvSpPr>
      <xdr:spPr>
        <a:xfrm>
          <a:off x="4210363" y="1849270"/>
          <a:ext cx="2353740" cy="1271688"/>
        </a:xfrm>
        <a:prstGeom prst="rect">
          <a:avLst/>
        </a:prstGeom>
        <a:solidFill>
          <a:schemeClr val="tx2">
            <a:lumMod val="75000"/>
            <a:lumOff val="2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fr-FR" sz="1100" b="1"/>
        </a:p>
        <a:p>
          <a:pPr algn="ctr"/>
          <a:endParaRPr lang="fr-FR" sz="1100" b="1"/>
        </a:p>
        <a:p>
          <a:pPr algn="ctr"/>
          <a:endParaRPr lang="fr-FR" sz="1100" b="1"/>
        </a:p>
        <a:p>
          <a:pPr algn="ctr"/>
          <a:r>
            <a:rPr lang="fr-FR" sz="1100" b="1"/>
            <a:t>Click</a:t>
          </a:r>
          <a:r>
            <a:rPr lang="fr-FR" sz="1100" b="1" baseline="0"/>
            <a:t> Here To Price An Option</a:t>
          </a:r>
          <a:endParaRPr lang="fr-FR" sz="1100" b="1"/>
        </a:p>
      </xdr:txBody>
    </xdr:sp>
    <xdr:clientData/>
  </xdr:twoCellAnchor>
  <xdr:twoCellAnchor>
    <xdr:from>
      <xdr:col>15</xdr:col>
      <xdr:colOff>11237</xdr:colOff>
      <xdr:row>9</xdr:row>
      <xdr:rowOff>9649</xdr:rowOff>
    </xdr:from>
    <xdr:to>
      <xdr:col>16</xdr:col>
      <xdr:colOff>698754</xdr:colOff>
      <xdr:row>11</xdr:row>
      <xdr:rowOff>87540</xdr:rowOff>
    </xdr:to>
    <xdr:sp macro="[0]!Greeks.GreeksEmpirique" textlink="">
      <xdr:nvSpPr>
        <xdr:cNvPr id="3" name="Rectangle 2">
          <a:extLst>
            <a:ext uri="{FF2B5EF4-FFF2-40B4-BE49-F238E27FC236}">
              <a16:creationId xmlns:a16="http://schemas.microsoft.com/office/drawing/2014/main" id="{E13A9DCA-0C1B-4796-B03F-2DBC19510CED}"/>
            </a:ext>
          </a:extLst>
        </xdr:cNvPr>
        <xdr:cNvSpPr/>
      </xdr:nvSpPr>
      <xdr:spPr>
        <a:xfrm>
          <a:off x="12375735" y="1647884"/>
          <a:ext cx="1450171" cy="444489"/>
        </a:xfrm>
        <a:prstGeom prst="rect">
          <a:avLst/>
        </a:prstGeom>
        <a:solidFill>
          <a:schemeClr val="tx2">
            <a:lumMod val="75000"/>
            <a:lumOff val="2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Sensibilité</a:t>
          </a:r>
          <a:r>
            <a:rPr lang="fr-FR" sz="1100" b="1" baseline="0"/>
            <a:t> empirique du prix</a:t>
          </a:r>
          <a:endParaRPr lang="fr-FR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344364</xdr:colOff>
      <xdr:row>8</xdr:row>
      <xdr:rowOff>41971</xdr:rowOff>
    </xdr:from>
    <xdr:to>
      <xdr:col>10</xdr:col>
      <xdr:colOff>359378</xdr:colOff>
      <xdr:row>14</xdr:row>
      <xdr:rowOff>92700</xdr:rowOff>
    </xdr:to>
    <xdr:sp macro="[0]!RunAnalysis" textlink="">
      <xdr:nvSpPr>
        <xdr:cNvPr id="2" name="Rectangle 1">
          <a:extLst>
            <a:ext uri="{FF2B5EF4-FFF2-40B4-BE49-F238E27FC236}">
              <a16:creationId xmlns:a16="http://schemas.microsoft.com/office/drawing/2014/main" id="{159C6FF2-F94B-396A-94BA-D29C1C08597F}"/>
            </a:ext>
          </a:extLst>
        </xdr:cNvPr>
        <xdr:cNvSpPr/>
      </xdr:nvSpPr>
      <xdr:spPr>
        <a:xfrm>
          <a:off x="10462846" y="1507356"/>
          <a:ext cx="2044570" cy="1149767"/>
        </a:xfrm>
        <a:prstGeom prst="rect">
          <a:avLst/>
        </a:prstGeom>
        <a:solidFill>
          <a:schemeClr val="tx2">
            <a:lumMod val="75000"/>
            <a:lumOff val="2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 b="1"/>
            <a:t>Run</a:t>
          </a:r>
          <a:r>
            <a:rPr lang="fr-FR" sz="1600" b="1" baseline="0"/>
            <a:t> Analysis On Steps</a:t>
          </a:r>
        </a:p>
      </xdr:txBody>
    </xdr:sp>
    <xdr:clientData/>
  </xdr:twoCellAnchor>
  <xdr:twoCellAnchor>
    <xdr:from>
      <xdr:col>6</xdr:col>
      <xdr:colOff>540998</xdr:colOff>
      <xdr:row>58</xdr:row>
      <xdr:rowOff>62850</xdr:rowOff>
    </xdr:from>
    <xdr:to>
      <xdr:col>13</xdr:col>
      <xdr:colOff>429559</xdr:colOff>
      <xdr:row>80</xdr:row>
      <xdr:rowOff>56029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E7554281-C035-46C7-17F9-AEFFC502A7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237364</xdr:colOff>
      <xdr:row>8</xdr:row>
      <xdr:rowOff>45717</xdr:rowOff>
    </xdr:from>
    <xdr:to>
      <xdr:col>14</xdr:col>
      <xdr:colOff>2370</xdr:colOff>
      <xdr:row>14</xdr:row>
      <xdr:rowOff>96446</xdr:rowOff>
    </xdr:to>
    <xdr:sp macro="[0]!RunAnalysisStrike" textlink="">
      <xdr:nvSpPr>
        <xdr:cNvPr id="4" name="Rectangle 3">
          <a:extLst>
            <a:ext uri="{FF2B5EF4-FFF2-40B4-BE49-F238E27FC236}">
              <a16:creationId xmlns:a16="http://schemas.microsoft.com/office/drawing/2014/main" id="{AD9DD585-FF5C-4235-89C5-0806E13241F9}"/>
            </a:ext>
          </a:extLst>
        </xdr:cNvPr>
        <xdr:cNvSpPr/>
      </xdr:nvSpPr>
      <xdr:spPr>
        <a:xfrm>
          <a:off x="13148241" y="1491053"/>
          <a:ext cx="2053849" cy="1145393"/>
        </a:xfrm>
        <a:prstGeom prst="rect">
          <a:avLst/>
        </a:prstGeom>
        <a:solidFill>
          <a:schemeClr val="tx2">
            <a:lumMod val="75000"/>
            <a:lumOff val="2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 b="1"/>
            <a:t>Run</a:t>
          </a:r>
          <a:r>
            <a:rPr lang="fr-FR" sz="1600" b="1" baseline="0"/>
            <a:t> Analysis On Strike </a:t>
          </a:r>
        </a:p>
        <a:p>
          <a:pPr algn="ctr"/>
          <a:r>
            <a:rPr lang="fr-FR" sz="1600" b="1" baseline="0"/>
            <a:t>for 10 Steps</a:t>
          </a:r>
        </a:p>
      </xdr:txBody>
    </xdr:sp>
    <xdr:clientData/>
  </xdr:twoCellAnchor>
  <xdr:twoCellAnchor>
    <xdr:from>
      <xdr:col>7</xdr:col>
      <xdr:colOff>742582</xdr:colOff>
      <xdr:row>26</xdr:row>
      <xdr:rowOff>26293</xdr:rowOff>
    </xdr:from>
    <xdr:to>
      <xdr:col>13</xdr:col>
      <xdr:colOff>95147</xdr:colOff>
      <xdr:row>41</xdr:row>
      <xdr:rowOff>47413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A3A9EDBC-002E-6B5C-126C-643016E6FB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0701CC-50BE-481B-9206-D52A5F521CBE}">
  <sheetPr codeName="Feuil1"/>
  <dimension ref="C3:Q42"/>
  <sheetViews>
    <sheetView topLeftCell="D1" zoomScaleNormal="100" zoomScalePageLayoutView="38" workbookViewId="0">
      <selection activeCell="G64" sqref="G64"/>
    </sheetView>
  </sheetViews>
  <sheetFormatPr defaultColWidth="10.6328125" defaultRowHeight="14.5" x14ac:dyDescent="0.35"/>
  <cols>
    <col min="1" max="2" width="10.6328125" style="49"/>
    <col min="3" max="3" width="14" style="49" bestFit="1" customWidth="1"/>
    <col min="4" max="4" width="13" style="49" customWidth="1"/>
    <col min="5" max="5" width="10.6328125" style="49"/>
    <col min="6" max="6" width="11.81640625" style="49" bestFit="1" customWidth="1"/>
    <col min="7" max="7" width="16.81640625" style="49" bestFit="1" customWidth="1"/>
    <col min="8" max="8" width="10.7265625" style="49" bestFit="1" customWidth="1"/>
    <col min="9" max="10" width="10.6328125" style="49"/>
    <col min="11" max="11" width="12.36328125" style="49" bestFit="1" customWidth="1"/>
    <col min="12" max="12" width="10.6328125" style="49"/>
    <col min="13" max="13" width="15.08984375" style="49" bestFit="1" customWidth="1"/>
    <col min="14" max="14" width="10.7265625" style="49" bestFit="1" customWidth="1"/>
    <col min="15" max="16384" width="10.6328125" style="49"/>
  </cols>
  <sheetData>
    <row r="3" spans="3:17" ht="14.25" customHeight="1" x14ac:dyDescent="0.35">
      <c r="C3" s="55" t="s">
        <v>16</v>
      </c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</row>
    <row r="4" spans="3:17" ht="14.25" customHeight="1" x14ac:dyDescent="0.35">
      <c r="C4" s="55"/>
      <c r="D4" s="55"/>
      <c r="E4" s="55"/>
      <c r="F4" s="55"/>
      <c r="G4" s="55"/>
      <c r="H4" s="55"/>
      <c r="I4" s="55"/>
      <c r="J4" s="55"/>
      <c r="K4" s="55"/>
      <c r="L4" s="55"/>
      <c r="M4" s="55"/>
      <c r="N4" s="55"/>
      <c r="O4" s="55"/>
      <c r="P4" s="55"/>
      <c r="Q4" s="55"/>
    </row>
    <row r="5" spans="3:17" ht="14.25" customHeight="1" x14ac:dyDescent="0.35"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</row>
    <row r="6" spans="3:17" ht="14.25" customHeight="1" x14ac:dyDescent="0.35"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  <c r="Q6" s="55"/>
    </row>
    <row r="9" spans="3:17" ht="15" thickBot="1" x14ac:dyDescent="0.4"/>
    <row r="10" spans="3:17" ht="14.65" customHeight="1" thickBot="1" x14ac:dyDescent="0.4">
      <c r="C10" s="56" t="s">
        <v>0</v>
      </c>
      <c r="D10" s="58"/>
      <c r="F10" s="59" t="s">
        <v>21</v>
      </c>
      <c r="G10" s="60"/>
      <c r="H10" s="61"/>
      <c r="J10" s="56" t="s">
        <v>23</v>
      </c>
      <c r="K10" s="58"/>
      <c r="M10" s="59" t="s">
        <v>43</v>
      </c>
      <c r="N10" s="61"/>
    </row>
    <row r="11" spans="3:17" ht="14.25" customHeight="1" x14ac:dyDescent="0.35">
      <c r="C11" s="1" t="s">
        <v>1</v>
      </c>
      <c r="D11" s="2">
        <v>100</v>
      </c>
      <c r="F11" s="26"/>
      <c r="G11" s="17" t="s">
        <v>11</v>
      </c>
      <c r="H11" s="27" t="s">
        <v>29</v>
      </c>
      <c r="J11" s="1" t="s">
        <v>24</v>
      </c>
      <c r="K11" s="13">
        <v>0.57767507468088575</v>
      </c>
      <c r="M11" s="7" t="s">
        <v>44</v>
      </c>
      <c r="N11" s="25">
        <v>0.52744795235041664</v>
      </c>
    </row>
    <row r="12" spans="3:17" ht="14.25" customHeight="1" x14ac:dyDescent="0.35">
      <c r="C12" s="1" t="s">
        <v>2</v>
      </c>
      <c r="D12" s="3">
        <v>0.02</v>
      </c>
      <c r="F12" s="1"/>
      <c r="G12" s="16" t="s">
        <v>36</v>
      </c>
      <c r="H12" s="2" t="s">
        <v>39</v>
      </c>
      <c r="J12" s="1" t="s">
        <v>25</v>
      </c>
      <c r="K12" s="13">
        <v>1.383653860595524</v>
      </c>
      <c r="M12" s="1" t="s">
        <v>45</v>
      </c>
      <c r="N12" s="10">
        <v>0.52744795235041664</v>
      </c>
    </row>
    <row r="13" spans="3:17" ht="14.25" customHeight="1" x14ac:dyDescent="0.35">
      <c r="C13" s="1" t="s">
        <v>3</v>
      </c>
      <c r="D13" s="3">
        <v>0.02</v>
      </c>
      <c r="F13" s="1" t="s">
        <v>14</v>
      </c>
      <c r="G13" s="32" t="s">
        <v>37</v>
      </c>
      <c r="H13" s="2" t="s">
        <v>39</v>
      </c>
      <c r="J13" s="14" t="s">
        <v>26</v>
      </c>
      <c r="K13" s="13">
        <v>5.5346154423820959E-2</v>
      </c>
      <c r="M13" s="14" t="s">
        <v>46</v>
      </c>
      <c r="N13" s="10">
        <v>6.4450542574384179E-2</v>
      </c>
    </row>
    <row r="14" spans="3:17" ht="14.25" customHeight="1" x14ac:dyDescent="0.35">
      <c r="C14" s="1" t="s">
        <v>4</v>
      </c>
      <c r="D14" s="2">
        <v>0</v>
      </c>
      <c r="F14" s="1"/>
      <c r="G14" s="16" t="s">
        <v>30</v>
      </c>
      <c r="H14" s="2" t="s">
        <v>39</v>
      </c>
      <c r="J14" s="1" t="s">
        <v>27</v>
      </c>
      <c r="K14" s="13">
        <v>-1.1925082021793675E-2</v>
      </c>
      <c r="M14" s="1" t="s">
        <v>47</v>
      </c>
      <c r="N14" s="10">
        <v>-9.7602817793343843E-3</v>
      </c>
    </row>
    <row r="15" spans="3:17" ht="14.65" customHeight="1" thickBot="1" x14ac:dyDescent="0.4">
      <c r="C15" s="4" t="s">
        <v>5</v>
      </c>
      <c r="D15" s="5">
        <v>45584.916666666664</v>
      </c>
      <c r="F15" s="4" t="s">
        <v>49</v>
      </c>
      <c r="G15" s="21" t="s">
        <v>50</v>
      </c>
      <c r="H15" s="6" t="s">
        <v>39</v>
      </c>
      <c r="J15" s="4" t="s">
        <v>28</v>
      </c>
      <c r="K15" s="15">
        <v>1.152501379157079E-2</v>
      </c>
      <c r="M15" s="4" t="s">
        <v>48</v>
      </c>
      <c r="N15" s="15">
        <v>1.6739329056681351E-2</v>
      </c>
    </row>
    <row r="16" spans="3:17" x14ac:dyDescent="0.35">
      <c r="M16" s="51"/>
    </row>
    <row r="17" spans="3:17" ht="15" thickBot="1" x14ac:dyDescent="0.4"/>
    <row r="18" spans="3:17" ht="15" thickBot="1" x14ac:dyDescent="0.4">
      <c r="C18" s="56" t="s">
        <v>6</v>
      </c>
      <c r="D18" s="58"/>
      <c r="J18" s="56" t="s">
        <v>22</v>
      </c>
      <c r="K18" s="57"/>
      <c r="L18" s="57"/>
      <c r="M18" s="57"/>
      <c r="N18" s="57"/>
      <c r="O18" s="57"/>
      <c r="P18" s="57"/>
      <c r="Q18" s="58"/>
    </row>
    <row r="19" spans="3:17" x14ac:dyDescent="0.35">
      <c r="C19" s="7" t="s">
        <v>7</v>
      </c>
      <c r="D19" s="8">
        <v>45584.916666666664</v>
      </c>
      <c r="J19" s="44" t="s">
        <v>40</v>
      </c>
      <c r="K19" s="19"/>
      <c r="L19" s="19"/>
      <c r="M19" s="19"/>
      <c r="N19" s="19"/>
      <c r="O19" s="19"/>
      <c r="P19" s="19"/>
      <c r="Q19" s="20"/>
    </row>
    <row r="20" spans="3:17" ht="14.25" customHeight="1" x14ac:dyDescent="0.35">
      <c r="C20" s="1" t="s">
        <v>8</v>
      </c>
      <c r="D20" s="2">
        <v>550</v>
      </c>
      <c r="J20" s="62" t="s">
        <v>58</v>
      </c>
      <c r="K20" s="63"/>
      <c r="L20" s="63"/>
      <c r="M20" s="63"/>
      <c r="N20" s="63"/>
      <c r="O20" s="63"/>
      <c r="P20" s="63"/>
      <c r="Q20" s="64"/>
    </row>
    <row r="21" spans="3:17" x14ac:dyDescent="0.35">
      <c r="C21" s="1" t="s">
        <v>35</v>
      </c>
      <c r="D21" s="2">
        <v>3</v>
      </c>
      <c r="J21" s="62"/>
      <c r="K21" s="63"/>
      <c r="L21" s="63"/>
      <c r="M21" s="63"/>
      <c r="N21" s="63"/>
      <c r="O21" s="63"/>
      <c r="P21" s="63"/>
      <c r="Q21" s="64"/>
    </row>
    <row r="22" spans="3:17" ht="14.65" customHeight="1" thickBot="1" x14ac:dyDescent="0.4">
      <c r="C22" s="4" t="s">
        <v>34</v>
      </c>
      <c r="D22" s="6">
        <v>365</v>
      </c>
      <c r="J22" s="43" t="s">
        <v>57</v>
      </c>
      <c r="K22" s="41"/>
      <c r="L22" s="41"/>
      <c r="M22" s="41"/>
      <c r="N22" s="41"/>
      <c r="O22" s="41"/>
      <c r="P22" s="41"/>
      <c r="Q22" s="42"/>
    </row>
    <row r="23" spans="3:17" x14ac:dyDescent="0.35">
      <c r="J23" s="65" t="s">
        <v>61</v>
      </c>
      <c r="K23" s="66"/>
      <c r="L23" s="66"/>
      <c r="M23" s="66"/>
      <c r="N23" s="66"/>
      <c r="O23" s="66"/>
      <c r="P23" s="66"/>
      <c r="Q23" s="67"/>
    </row>
    <row r="24" spans="3:17" ht="14.65" customHeight="1" thickBot="1" x14ac:dyDescent="0.4">
      <c r="J24" s="65"/>
      <c r="K24" s="66"/>
      <c r="L24" s="66"/>
      <c r="M24" s="66"/>
      <c r="N24" s="66"/>
      <c r="O24" s="66"/>
      <c r="P24" s="66"/>
      <c r="Q24" s="67"/>
    </row>
    <row r="25" spans="3:17" ht="15" thickBot="1" x14ac:dyDescent="0.4">
      <c r="C25" s="56" t="s">
        <v>9</v>
      </c>
      <c r="D25" s="58"/>
      <c r="F25" s="22" t="s">
        <v>33</v>
      </c>
      <c r="G25" s="23" t="s">
        <v>17</v>
      </c>
      <c r="H25" s="24" t="s">
        <v>18</v>
      </c>
      <c r="J25" s="65" t="s">
        <v>60</v>
      </c>
      <c r="K25" s="66"/>
      <c r="L25" s="66"/>
      <c r="M25" s="66"/>
      <c r="N25" s="66"/>
      <c r="O25" s="66"/>
      <c r="P25" s="66"/>
      <c r="Q25" s="67"/>
    </row>
    <row r="26" spans="3:17" x14ac:dyDescent="0.35">
      <c r="C26" s="7" t="s">
        <v>10</v>
      </c>
      <c r="D26" s="8">
        <v>45594.958333333336</v>
      </c>
      <c r="F26" s="7" t="s">
        <v>16</v>
      </c>
      <c r="G26" s="33">
        <v>0.16242455986865809</v>
      </c>
      <c r="H26" s="25">
        <v>0</v>
      </c>
      <c r="J26" s="65"/>
      <c r="K26" s="66"/>
      <c r="L26" s="66"/>
      <c r="M26" s="66"/>
      <c r="N26" s="66"/>
      <c r="O26" s="66"/>
      <c r="P26" s="66"/>
      <c r="Q26" s="67"/>
    </row>
    <row r="27" spans="3:17" x14ac:dyDescent="0.35">
      <c r="C27" s="1" t="s">
        <v>11</v>
      </c>
      <c r="D27" s="2" t="s">
        <v>15</v>
      </c>
      <c r="F27" s="1" t="s">
        <v>19</v>
      </c>
      <c r="G27" s="9">
        <v>0.16162482249875293</v>
      </c>
      <c r="H27" s="10">
        <v>7.8125E-3</v>
      </c>
      <c r="J27" s="43" t="s">
        <v>41</v>
      </c>
      <c r="K27" s="16"/>
      <c r="L27" s="16"/>
      <c r="M27" s="16"/>
      <c r="N27" s="16"/>
      <c r="O27" s="16"/>
      <c r="P27" s="16"/>
      <c r="Q27" s="13"/>
    </row>
    <row r="28" spans="3:17" x14ac:dyDescent="0.35">
      <c r="C28" s="1" t="s">
        <v>12</v>
      </c>
      <c r="D28" s="2" t="s">
        <v>54</v>
      </c>
      <c r="F28" s="1"/>
      <c r="G28" s="16"/>
      <c r="H28" s="13"/>
      <c r="J28" s="1" t="s">
        <v>59</v>
      </c>
      <c r="K28" s="16"/>
      <c r="L28" s="16"/>
      <c r="M28" s="16"/>
      <c r="N28" s="16"/>
      <c r="O28" s="16"/>
      <c r="P28" s="16"/>
      <c r="Q28" s="13"/>
    </row>
    <row r="29" spans="3:17" ht="15" thickBot="1" x14ac:dyDescent="0.4">
      <c r="C29" s="4" t="s">
        <v>13</v>
      </c>
      <c r="D29" s="6">
        <v>100</v>
      </c>
      <c r="F29" s="4" t="s">
        <v>20</v>
      </c>
      <c r="G29" s="11">
        <v>7.9973736990515687E-4</v>
      </c>
      <c r="H29" s="12">
        <v>-7.8125E-3</v>
      </c>
      <c r="J29" s="4" t="s">
        <v>62</v>
      </c>
      <c r="K29" s="21"/>
      <c r="L29" s="21"/>
      <c r="M29" s="21"/>
      <c r="N29" s="21"/>
      <c r="O29" s="21"/>
      <c r="P29" s="21"/>
      <c r="Q29" s="15"/>
    </row>
    <row r="33" spans="3:17" ht="14.25" customHeight="1" x14ac:dyDescent="0.35"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54" t="s">
        <v>32</v>
      </c>
      <c r="O33" s="54"/>
      <c r="P33" s="54"/>
      <c r="Q33" s="54"/>
    </row>
    <row r="34" spans="3:17" ht="14.25" customHeight="1" x14ac:dyDescent="0.35"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54"/>
      <c r="O34" s="54"/>
      <c r="P34" s="54"/>
      <c r="Q34" s="54"/>
    </row>
    <row r="35" spans="3:17" ht="14.25" customHeight="1" x14ac:dyDescent="0.35"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54"/>
      <c r="O35" s="54"/>
      <c r="P35" s="54"/>
      <c r="Q35" s="54"/>
    </row>
    <row r="36" spans="3:17" ht="14.25" customHeight="1" x14ac:dyDescent="0.35"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54"/>
      <c r="O36" s="54"/>
      <c r="P36" s="54"/>
      <c r="Q36" s="54"/>
    </row>
    <row r="42" spans="3:17" x14ac:dyDescent="0.35">
      <c r="K42" s="49" t="s">
        <v>42</v>
      </c>
    </row>
  </sheetData>
  <mergeCells count="12">
    <mergeCell ref="N33:Q36"/>
    <mergeCell ref="C3:Q6"/>
    <mergeCell ref="J18:Q18"/>
    <mergeCell ref="C25:D25"/>
    <mergeCell ref="F10:H10"/>
    <mergeCell ref="J10:K10"/>
    <mergeCell ref="C10:D10"/>
    <mergeCell ref="C18:D18"/>
    <mergeCell ref="M10:N10"/>
    <mergeCell ref="J20:Q21"/>
    <mergeCell ref="J23:Q24"/>
    <mergeCell ref="J25:Q26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8F07E2-6120-4FE1-AE51-277629280414}">
  <sheetPr codeName="Feuil5"/>
  <dimension ref="C3:P155"/>
  <sheetViews>
    <sheetView tabSelected="1" topLeftCell="C3" zoomScale="70" zoomScaleNormal="70" workbookViewId="0">
      <selection activeCell="E42" sqref="E42"/>
    </sheetView>
  </sheetViews>
  <sheetFormatPr defaultColWidth="10.6328125" defaultRowHeight="14.5" x14ac:dyDescent="0.35"/>
  <cols>
    <col min="1" max="2" width="10.6328125" style="49"/>
    <col min="3" max="3" width="16.7265625" style="49" bestFit="1" customWidth="1"/>
    <col min="4" max="4" width="17.1796875" style="49" bestFit="1" customWidth="1"/>
    <col min="5" max="5" width="16.90625" style="49" bestFit="1" customWidth="1"/>
    <col min="6" max="6" width="28.36328125" style="49" bestFit="1" customWidth="1"/>
    <col min="7" max="7" width="35.1796875" style="49" bestFit="1" customWidth="1"/>
    <col min="8" max="8" width="15.81640625" style="49" customWidth="1"/>
    <col min="9" max="9" width="14.6328125" style="49" customWidth="1"/>
    <col min="10" max="10" width="15.6328125" style="49" customWidth="1"/>
    <col min="11" max="14" width="10.6328125" style="49"/>
    <col min="15" max="15" width="10.6328125" style="49" customWidth="1"/>
    <col min="16" max="16384" width="10.6328125" style="49"/>
  </cols>
  <sheetData>
    <row r="3" spans="3:14" x14ac:dyDescent="0.35"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</row>
    <row r="4" spans="3:14" x14ac:dyDescent="0.35"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</row>
    <row r="5" spans="3:14" x14ac:dyDescent="0.35"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</row>
    <row r="6" spans="3:14" x14ac:dyDescent="0.35"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</row>
    <row r="8" spans="3:14" ht="15" thickBot="1" x14ac:dyDescent="0.4"/>
    <row r="9" spans="3:14" ht="15" thickBot="1" x14ac:dyDescent="0.4">
      <c r="C9" s="56" t="s">
        <v>65</v>
      </c>
      <c r="D9" s="58"/>
      <c r="F9" s="74" t="s">
        <v>56</v>
      </c>
      <c r="G9" s="75"/>
    </row>
    <row r="10" spans="3:14" ht="15" thickBot="1" x14ac:dyDescent="0.4">
      <c r="C10" s="22" t="s">
        <v>17</v>
      </c>
      <c r="D10" s="28" t="s">
        <v>18</v>
      </c>
      <c r="F10" s="76"/>
      <c r="G10" s="77"/>
    </row>
    <row r="11" spans="3:14" ht="15" thickBot="1" x14ac:dyDescent="0.4">
      <c r="C11" s="30">
        <v>0.16162482249875293</v>
      </c>
      <c r="D11" s="15">
        <v>3.90625E-3</v>
      </c>
      <c r="F11" s="76"/>
      <c r="G11" s="77"/>
    </row>
    <row r="12" spans="3:14" x14ac:dyDescent="0.35">
      <c r="F12" s="76"/>
      <c r="G12" s="77"/>
    </row>
    <row r="13" spans="3:14" ht="14.25" customHeight="1" x14ac:dyDescent="0.35">
      <c r="F13" s="76"/>
      <c r="G13" s="77"/>
    </row>
    <row r="14" spans="3:14" ht="14.25" customHeight="1" thickBot="1" x14ac:dyDescent="0.4">
      <c r="F14" s="78"/>
      <c r="G14" s="79"/>
    </row>
    <row r="17" spans="3:16" ht="15" thickBot="1" x14ac:dyDescent="0.4">
      <c r="K17" s="39" t="s">
        <v>0</v>
      </c>
      <c r="L17" s="39"/>
      <c r="M17" s="50"/>
      <c r="N17" s="50"/>
      <c r="O17" s="39"/>
    </row>
    <row r="18" spans="3:16" ht="14.65" customHeight="1" thickBot="1" x14ac:dyDescent="0.4">
      <c r="C18" s="22" t="s">
        <v>31</v>
      </c>
      <c r="D18" s="45" t="s">
        <v>38</v>
      </c>
      <c r="E18" s="46" t="s">
        <v>53</v>
      </c>
      <c r="F18" s="47" t="s">
        <v>51</v>
      </c>
      <c r="G18" s="28" t="s">
        <v>52</v>
      </c>
      <c r="I18" s="68" t="s">
        <v>63</v>
      </c>
      <c r="J18" s="69"/>
      <c r="K18" s="39"/>
      <c r="L18" s="39"/>
      <c r="M18" s="39"/>
      <c r="N18" s="39"/>
      <c r="O18" s="39"/>
    </row>
    <row r="19" spans="3:16" x14ac:dyDescent="0.35">
      <c r="C19" s="29">
        <v>5</v>
      </c>
      <c r="D19" s="35">
        <v>0.16128364360129702</v>
      </c>
      <c r="E19" s="35">
        <v>3.90625E-3</v>
      </c>
      <c r="F19" s="35">
        <v>7.1755010267551267E-2</v>
      </c>
      <c r="G19" s="2">
        <v>0</v>
      </c>
      <c r="I19" s="70"/>
      <c r="J19" s="71"/>
      <c r="K19" s="39"/>
      <c r="L19" s="50"/>
      <c r="M19" s="50"/>
      <c r="N19" s="50"/>
      <c r="O19" s="50"/>
      <c r="P19" s="50"/>
    </row>
    <row r="20" spans="3:16" x14ac:dyDescent="0.35">
      <c r="C20" s="29">
        <v>10</v>
      </c>
      <c r="D20" s="35">
        <v>0.16242455986865809</v>
      </c>
      <c r="E20" s="35">
        <v>1.953125E-2</v>
      </c>
      <c r="F20" s="35">
        <v>7.9701060238899224E-2</v>
      </c>
      <c r="G20" s="2">
        <v>0</v>
      </c>
      <c r="I20" s="70"/>
      <c r="J20" s="71"/>
      <c r="K20" s="39"/>
      <c r="L20" s="50"/>
      <c r="M20" s="50"/>
      <c r="N20" s="50"/>
      <c r="O20" s="50"/>
      <c r="P20" s="50"/>
    </row>
    <row r="21" spans="3:16" x14ac:dyDescent="0.35">
      <c r="C21" s="29">
        <v>20</v>
      </c>
      <c r="D21" s="35">
        <v>0.16238417491341195</v>
      </c>
      <c r="E21" s="35">
        <v>6.25E-2</v>
      </c>
      <c r="F21" s="35">
        <v>-1.7037879822772162E-2</v>
      </c>
      <c r="G21" s="2">
        <v>0</v>
      </c>
      <c r="I21" s="70"/>
      <c r="J21" s="71"/>
      <c r="K21" s="39"/>
      <c r="L21" s="50"/>
      <c r="M21" s="50"/>
      <c r="N21" s="50"/>
      <c r="O21" s="50"/>
      <c r="P21" s="50"/>
    </row>
    <row r="22" spans="3:16" x14ac:dyDescent="0.35">
      <c r="C22" s="29">
        <v>30</v>
      </c>
      <c r="D22" s="35">
        <v>0.16216719425723577</v>
      </c>
      <c r="E22" s="35">
        <v>0.125</v>
      </c>
      <c r="F22" s="35">
        <v>-0.16243546843148327</v>
      </c>
      <c r="G22" s="2">
        <v>0</v>
      </c>
      <c r="I22" s="70"/>
      <c r="J22" s="71"/>
      <c r="K22" s="39"/>
      <c r="L22" s="50"/>
      <c r="M22" s="50"/>
      <c r="N22" s="50"/>
      <c r="O22" s="50"/>
      <c r="P22" s="50"/>
    </row>
    <row r="23" spans="3:16" x14ac:dyDescent="0.35">
      <c r="C23" s="29">
        <v>40</v>
      </c>
      <c r="D23" s="35">
        <v>0.16198195931106774</v>
      </c>
      <c r="E23" s="35">
        <v>0.1875</v>
      </c>
      <c r="F23" s="35">
        <v>-3.4618560552512889E-2</v>
      </c>
      <c r="G23" s="2">
        <v>0</v>
      </c>
      <c r="I23" s="70"/>
      <c r="J23" s="71"/>
      <c r="K23" s="39"/>
      <c r="L23" s="50"/>
      <c r="M23" s="50"/>
      <c r="N23" s="50"/>
      <c r="O23" s="50"/>
      <c r="P23" s="50"/>
    </row>
    <row r="24" spans="3:16" ht="15" thickBot="1" x14ac:dyDescent="0.4">
      <c r="C24" s="29">
        <v>50</v>
      </c>
      <c r="D24" s="35">
        <v>0.161831940211521</v>
      </c>
      <c r="E24" s="35">
        <v>0.2734375</v>
      </c>
      <c r="F24" s="35">
        <v>4.0425333107241279E-2</v>
      </c>
      <c r="G24" s="2">
        <v>7.8125E-3</v>
      </c>
      <c r="I24" s="72"/>
      <c r="J24" s="73"/>
      <c r="K24" s="39"/>
      <c r="L24" s="50"/>
      <c r="M24" s="50"/>
      <c r="N24" s="50"/>
      <c r="O24" s="50"/>
      <c r="P24" s="50"/>
    </row>
    <row r="25" spans="3:16" x14ac:dyDescent="0.35">
      <c r="C25" s="29">
        <v>60</v>
      </c>
      <c r="D25" s="35">
        <v>0.16170901446208361</v>
      </c>
      <c r="E25" s="35">
        <v>0.36328125</v>
      </c>
      <c r="F25" s="35">
        <v>7.6545182370919562E-2</v>
      </c>
      <c r="G25" s="2">
        <v>0</v>
      </c>
      <c r="K25" s="39"/>
      <c r="L25" s="50"/>
      <c r="M25" s="50"/>
      <c r="N25" s="50"/>
      <c r="O25" s="50"/>
      <c r="P25" s="50"/>
    </row>
    <row r="26" spans="3:16" x14ac:dyDescent="0.35">
      <c r="C26" s="29">
        <v>70</v>
      </c>
      <c r="D26" s="35">
        <v>0.16160636576068088</v>
      </c>
      <c r="E26" s="35">
        <v>0.4609375</v>
      </c>
      <c r="F26" s="35">
        <v>8.2555420155867587E-2</v>
      </c>
      <c r="G26" s="2">
        <v>1.5625E-2</v>
      </c>
      <c r="K26" s="39"/>
      <c r="L26" s="50"/>
      <c r="M26" s="50"/>
      <c r="N26" s="50"/>
      <c r="O26" s="50"/>
      <c r="P26" s="50"/>
    </row>
    <row r="27" spans="3:16" x14ac:dyDescent="0.35">
      <c r="C27" s="29">
        <v>80</v>
      </c>
      <c r="D27" s="35">
        <v>0.16151911239978994</v>
      </c>
      <c r="E27" s="35">
        <v>0.64453125</v>
      </c>
      <c r="F27" s="35">
        <v>6.4425038792617073E-2</v>
      </c>
      <c r="G27" s="2">
        <v>0</v>
      </c>
      <c r="K27" s="39"/>
      <c r="L27" s="50"/>
      <c r="M27" s="50"/>
      <c r="N27" s="50"/>
      <c r="O27" s="50"/>
      <c r="P27" s="50"/>
    </row>
    <row r="28" spans="3:16" x14ac:dyDescent="0.35">
      <c r="C28" s="29">
        <v>90</v>
      </c>
      <c r="D28" s="35">
        <v>0.16144379857087099</v>
      </c>
      <c r="E28" s="35">
        <v>0.73828125</v>
      </c>
      <c r="F28" s="35">
        <v>2.640129814006853E-2</v>
      </c>
      <c r="G28" s="2">
        <v>1.5625E-2</v>
      </c>
      <c r="K28" s="39"/>
      <c r="L28" s="50"/>
      <c r="M28" s="50"/>
      <c r="N28" s="50"/>
      <c r="O28" s="50"/>
      <c r="P28" s="50"/>
    </row>
    <row r="29" spans="3:16" x14ac:dyDescent="0.35">
      <c r="C29" s="29">
        <v>100</v>
      </c>
      <c r="D29" s="35">
        <v>0.1613779386649849</v>
      </c>
      <c r="E29" s="35">
        <v>0.84375</v>
      </c>
      <c r="F29" s="35">
        <v>-2.8372915898322582E-2</v>
      </c>
      <c r="G29" s="2">
        <v>0</v>
      </c>
      <c r="K29" s="39"/>
      <c r="L29" s="50"/>
      <c r="M29" s="50"/>
      <c r="N29" s="50"/>
      <c r="O29" s="50"/>
      <c r="P29" s="50"/>
    </row>
    <row r="30" spans="3:16" x14ac:dyDescent="0.35">
      <c r="C30" s="29">
        <v>120</v>
      </c>
      <c r="D30" s="35">
        <v>0.1614278751421985</v>
      </c>
      <c r="E30" s="35">
        <v>1.11328125</v>
      </c>
      <c r="F30" s="35">
        <v>-0.15576695507137472</v>
      </c>
      <c r="G30" s="2">
        <v>2.34375E-2</v>
      </c>
      <c r="K30" s="39"/>
      <c r="L30" s="50"/>
      <c r="M30" s="50"/>
      <c r="N30" s="50"/>
      <c r="O30" s="50"/>
      <c r="P30" s="50"/>
    </row>
    <row r="31" spans="3:16" x14ac:dyDescent="0.35">
      <c r="C31" s="29">
        <v>140</v>
      </c>
      <c r="D31" s="35">
        <v>0.16155183108194854</v>
      </c>
      <c r="E31" s="35">
        <v>1.453125</v>
      </c>
      <c r="F31" s="35">
        <v>-2.5343745291337427E-2</v>
      </c>
      <c r="G31" s="2">
        <v>1.5625E-2</v>
      </c>
      <c r="K31" s="39"/>
      <c r="L31" s="50"/>
      <c r="M31" s="50"/>
      <c r="N31" s="50"/>
      <c r="O31" s="50"/>
      <c r="P31" s="50"/>
    </row>
    <row r="32" spans="3:16" x14ac:dyDescent="0.35">
      <c r="C32" s="29">
        <v>160</v>
      </c>
      <c r="D32" s="35">
        <v>0.1616237661940543</v>
      </c>
      <c r="E32" s="35">
        <v>1.7890625</v>
      </c>
      <c r="F32" s="35">
        <v>5.0839784555627432E-2</v>
      </c>
      <c r="G32" s="2">
        <v>1.5625E-2</v>
      </c>
      <c r="K32" s="39"/>
      <c r="L32" s="50"/>
      <c r="M32" s="50"/>
      <c r="N32" s="50"/>
      <c r="O32" s="50"/>
      <c r="P32" s="50"/>
    </row>
    <row r="33" spans="3:16" x14ac:dyDescent="0.35">
      <c r="C33" s="29">
        <v>180</v>
      </c>
      <c r="D33" s="35">
        <v>0.16166433609248401</v>
      </c>
      <c r="E33" s="35">
        <v>2.1796875</v>
      </c>
      <c r="F33" s="35">
        <v>8.186826591173979E-2</v>
      </c>
      <c r="G33" s="2">
        <v>3.125E-2</v>
      </c>
      <c r="K33" s="39"/>
      <c r="L33" s="50"/>
      <c r="M33" s="50"/>
      <c r="N33" s="50"/>
      <c r="O33" s="50"/>
      <c r="P33" s="50"/>
    </row>
    <row r="34" spans="3:16" x14ac:dyDescent="0.35">
      <c r="C34" s="29">
        <v>200</v>
      </c>
      <c r="D34" s="35">
        <v>0.16168514981609841</v>
      </c>
      <c r="E34" s="35">
        <v>2.62109375</v>
      </c>
      <c r="F34" s="35">
        <v>7.460091238526978E-2</v>
      </c>
      <c r="G34" s="2">
        <v>1.5625E-2</v>
      </c>
      <c r="K34" s="39"/>
      <c r="L34" s="50"/>
      <c r="M34" s="50"/>
      <c r="N34" s="50"/>
      <c r="O34" s="50"/>
      <c r="P34" s="50"/>
    </row>
    <row r="35" spans="3:16" x14ac:dyDescent="0.35">
      <c r="C35" s="29">
        <v>220</v>
      </c>
      <c r="D35" s="35">
        <v>0.16169311843335971</v>
      </c>
      <c r="E35" s="35">
        <v>3.12890625</v>
      </c>
      <c r="F35" s="35">
        <v>3.4350283081066024E-2</v>
      </c>
      <c r="G35" s="2">
        <v>1.5625E-2</v>
      </c>
      <c r="K35" s="39"/>
      <c r="L35" s="50"/>
      <c r="M35" s="50"/>
      <c r="N35" s="50"/>
      <c r="O35" s="50"/>
      <c r="P35" s="50"/>
    </row>
    <row r="36" spans="3:16" x14ac:dyDescent="0.35">
      <c r="C36" s="29">
        <v>240</v>
      </c>
      <c r="D36" s="35">
        <v>0.16169254550260886</v>
      </c>
      <c r="E36" s="35">
        <v>3.69921875</v>
      </c>
      <c r="F36" s="35">
        <v>-3.4677734451342701E-2</v>
      </c>
      <c r="G36" s="2">
        <v>1.5625E-2</v>
      </c>
      <c r="K36" s="39"/>
      <c r="L36" s="50"/>
      <c r="M36" s="50"/>
      <c r="N36" s="50"/>
      <c r="O36" s="50"/>
      <c r="P36" s="50"/>
    </row>
    <row r="37" spans="3:16" x14ac:dyDescent="0.35">
      <c r="C37" s="29">
        <v>260</v>
      </c>
      <c r="D37" s="35">
        <v>0.16168620701188896</v>
      </c>
      <c r="E37" s="35">
        <v>4.44921875</v>
      </c>
      <c r="F37" s="35">
        <v>-0.12909016780136451</v>
      </c>
      <c r="G37" s="2">
        <v>3.125E-2</v>
      </c>
      <c r="K37" s="39"/>
      <c r="L37" s="50"/>
      <c r="M37" s="50"/>
      <c r="N37" s="50"/>
      <c r="O37" s="50"/>
      <c r="P37" s="50"/>
    </row>
    <row r="38" spans="3:16" x14ac:dyDescent="0.35">
      <c r="C38" s="29">
        <v>280</v>
      </c>
      <c r="D38" s="35">
        <v>0.16167594796059104</v>
      </c>
      <c r="E38" s="35">
        <v>5.08984375</v>
      </c>
      <c r="F38" s="35">
        <v>-9.9962044862795807E-2</v>
      </c>
      <c r="G38" s="2">
        <v>1.5625E-2</v>
      </c>
      <c r="K38" s="39"/>
      <c r="L38" s="50"/>
      <c r="M38" s="50"/>
      <c r="N38" s="50"/>
      <c r="O38" s="50"/>
      <c r="P38" s="50"/>
    </row>
    <row r="39" spans="3:16" x14ac:dyDescent="0.35">
      <c r="C39" s="29">
        <v>300</v>
      </c>
      <c r="D39" s="35">
        <v>0.16166302189994686</v>
      </c>
      <c r="E39" s="35">
        <v>5.8203125</v>
      </c>
      <c r="F39" s="35">
        <v>-1.9714683879534789E-2</v>
      </c>
      <c r="G39" s="2">
        <v>3.125E-2</v>
      </c>
      <c r="K39" s="39"/>
      <c r="L39" s="50"/>
      <c r="M39" s="50"/>
      <c r="N39" s="50"/>
      <c r="O39" s="50"/>
      <c r="P39" s="50"/>
    </row>
    <row r="40" spans="3:16" x14ac:dyDescent="0.35">
      <c r="C40" s="29">
        <v>320</v>
      </c>
      <c r="D40" s="35">
        <v>0.16164829859257357</v>
      </c>
      <c r="E40" s="35">
        <v>6.640625</v>
      </c>
      <c r="F40" s="35">
        <v>3.6212055237143659E-2</v>
      </c>
      <c r="G40" s="2">
        <v>3.125E-2</v>
      </c>
      <c r="K40" s="39"/>
      <c r="L40" s="50"/>
      <c r="M40" s="50"/>
      <c r="N40" s="50"/>
      <c r="O40" s="50"/>
      <c r="P40" s="50"/>
    </row>
    <row r="41" spans="3:16" x14ac:dyDescent="0.35">
      <c r="C41" s="29">
        <v>340</v>
      </c>
      <c r="D41" s="35">
        <v>0.161632388941263</v>
      </c>
      <c r="E41" s="35">
        <v>7.5546875</v>
      </c>
      <c r="F41" s="35">
        <v>6.9881906766133817E-2</v>
      </c>
      <c r="G41" s="2">
        <v>2.34375E-2</v>
      </c>
      <c r="K41" s="39"/>
      <c r="L41" s="50"/>
      <c r="M41" s="50"/>
      <c r="N41" s="50"/>
      <c r="O41" s="50"/>
      <c r="P41" s="50"/>
    </row>
    <row r="42" spans="3:16" x14ac:dyDescent="0.35">
      <c r="C42" s="29">
        <v>360</v>
      </c>
      <c r="D42" s="35">
        <v>0.16161572898878324</v>
      </c>
      <c r="E42" s="35">
        <v>13.921875</v>
      </c>
      <c r="F42" s="35">
        <v>8.3090164117436416E-2</v>
      </c>
      <c r="G42" s="2">
        <v>3.125E-2</v>
      </c>
      <c r="K42" s="39"/>
      <c r="L42" s="50"/>
      <c r="M42" s="50"/>
      <c r="N42" s="50"/>
      <c r="O42" s="50"/>
      <c r="P42" s="50"/>
    </row>
    <row r="43" spans="3:16" x14ac:dyDescent="0.35">
      <c r="C43" s="29">
        <v>380</v>
      </c>
      <c r="D43" s="35">
        <v>0.16159863222698084</v>
      </c>
      <c r="E43" s="35">
        <v>9.4375</v>
      </c>
      <c r="F43" s="35">
        <v>7.7408809129613232E-2</v>
      </c>
      <c r="G43" s="2">
        <v>3.90625E-2</v>
      </c>
      <c r="K43" s="39"/>
      <c r="L43" s="50"/>
      <c r="M43" s="50"/>
      <c r="N43" s="50"/>
      <c r="O43" s="50"/>
      <c r="P43" s="50"/>
    </row>
    <row r="44" spans="3:16" x14ac:dyDescent="0.35">
      <c r="C44" s="29">
        <v>400</v>
      </c>
      <c r="D44" s="35">
        <v>0.16158132564452404</v>
      </c>
      <c r="E44" s="35">
        <v>10.75390625</v>
      </c>
      <c r="F44" s="35">
        <v>5.4222626120026263E-2</v>
      </c>
      <c r="G44" s="2">
        <v>3.125E-2</v>
      </c>
      <c r="K44" s="39"/>
      <c r="L44" s="50"/>
      <c r="M44" s="50"/>
      <c r="N44" s="50"/>
      <c r="O44" s="50"/>
      <c r="P44" s="50"/>
    </row>
    <row r="45" spans="3:16" x14ac:dyDescent="0.35">
      <c r="C45" s="29">
        <v>450</v>
      </c>
      <c r="D45" s="35">
        <v>0.16156547091177506</v>
      </c>
      <c r="E45" s="35">
        <v>13.4453125</v>
      </c>
      <c r="F45" s="35">
        <v>-7.2602233365148816E-2</v>
      </c>
      <c r="G45" s="2">
        <v>3.125E-2</v>
      </c>
      <c r="L45" s="50"/>
      <c r="M45" s="50"/>
      <c r="N45" s="50"/>
      <c r="O45" s="50"/>
      <c r="P45" s="50"/>
    </row>
    <row r="46" spans="3:16" x14ac:dyDescent="0.35">
      <c r="C46" s="29">
        <v>500</v>
      </c>
      <c r="D46" s="35">
        <v>0.16160690948854692</v>
      </c>
      <c r="E46" s="35">
        <v>17.03125</v>
      </c>
      <c r="F46" s="35">
        <v>-7.2435291038730476E-2</v>
      </c>
      <c r="G46" s="2">
        <v>6.25E-2</v>
      </c>
      <c r="L46" s="50"/>
      <c r="M46" s="50"/>
      <c r="N46" s="50"/>
      <c r="O46" s="50"/>
      <c r="P46" s="50"/>
    </row>
    <row r="47" spans="3:16" ht="15" thickBot="1" x14ac:dyDescent="0.4">
      <c r="C47" s="30">
        <v>550</v>
      </c>
      <c r="D47" s="31">
        <v>0.16163134057233258</v>
      </c>
      <c r="E47" s="31">
        <v>46.2109375</v>
      </c>
      <c r="F47" s="31">
        <v>4.5336658303296584E-2</v>
      </c>
      <c r="G47" s="6">
        <v>6.25E-2</v>
      </c>
      <c r="L47" s="50"/>
      <c r="M47" s="50"/>
      <c r="N47" s="50"/>
      <c r="O47" s="50"/>
      <c r="P47" s="50"/>
    </row>
    <row r="49" spans="3:9" ht="15" thickBot="1" x14ac:dyDescent="0.4"/>
    <row r="50" spans="3:9" ht="14.65" customHeight="1" thickBot="1" x14ac:dyDescent="0.4">
      <c r="C50" s="48" t="s">
        <v>13</v>
      </c>
      <c r="D50" s="47" t="s">
        <v>38</v>
      </c>
      <c r="E50" s="47" t="s">
        <v>55</v>
      </c>
      <c r="F50" s="34" t="s">
        <v>51</v>
      </c>
      <c r="H50" s="68" t="s">
        <v>64</v>
      </c>
      <c r="I50" s="69"/>
    </row>
    <row r="51" spans="3:9" x14ac:dyDescent="0.35">
      <c r="C51" s="38">
        <v>39</v>
      </c>
      <c r="D51" s="33">
        <v>61.602840419431104</v>
      </c>
      <c r="E51" s="33">
        <v>61.602799892528424</v>
      </c>
      <c r="F51" s="25">
        <f t="shared" ref="F51:F82" si="0">$D51-$E51</f>
        <v>4.0526902679971499E-5</v>
      </c>
      <c r="H51" s="70"/>
      <c r="I51" s="71"/>
    </row>
    <row r="52" spans="3:9" x14ac:dyDescent="0.35">
      <c r="C52" s="36">
        <v>41</v>
      </c>
      <c r="D52" s="9">
        <v>59.634198484007825</v>
      </c>
      <c r="E52" s="9">
        <v>59.634384470550899</v>
      </c>
      <c r="F52" s="10">
        <f t="shared" si="0"/>
        <v>-1.8598654307311335E-4</v>
      </c>
      <c r="H52" s="70"/>
      <c r="I52" s="71"/>
    </row>
    <row r="53" spans="3:9" x14ac:dyDescent="0.35">
      <c r="C53" s="36">
        <v>43</v>
      </c>
      <c r="D53" s="9">
        <v>57.666199631889704</v>
      </c>
      <c r="E53" s="9">
        <v>57.666616396059844</v>
      </c>
      <c r="F53" s="10">
        <f t="shared" si="0"/>
        <v>-4.1676417014002709E-4</v>
      </c>
      <c r="H53" s="70"/>
      <c r="I53" s="71"/>
    </row>
    <row r="54" spans="3:9" x14ac:dyDescent="0.35">
      <c r="C54" s="36">
        <v>45</v>
      </c>
      <c r="D54" s="9">
        <v>55.700527994891893</v>
      </c>
      <c r="E54" s="9">
        <v>55.699942537968958</v>
      </c>
      <c r="F54" s="10">
        <f t="shared" si="0"/>
        <v>5.8545692293421325E-4</v>
      </c>
      <c r="H54" s="70"/>
      <c r="I54" s="71"/>
    </row>
    <row r="55" spans="3:9" x14ac:dyDescent="0.35">
      <c r="C55" s="36">
        <v>47</v>
      </c>
      <c r="D55" s="9">
        <v>53.734856357894088</v>
      </c>
      <c r="E55" s="9">
        <v>53.735022140511873</v>
      </c>
      <c r="F55" s="10">
        <f t="shared" si="0"/>
        <v>-1.6578261778477099E-4</v>
      </c>
      <c r="H55" s="70"/>
      <c r="I55" s="71"/>
    </row>
    <row r="56" spans="3:9" ht="15" thickBot="1" x14ac:dyDescent="0.4">
      <c r="C56" s="36">
        <v>49</v>
      </c>
      <c r="D56" s="9">
        <v>51.769184720896291</v>
      </c>
      <c r="E56" s="9">
        <v>51.772781130869497</v>
      </c>
      <c r="F56" s="10">
        <f t="shared" si="0"/>
        <v>-3.5964099732055388E-3</v>
      </c>
      <c r="H56" s="72"/>
      <c r="I56" s="73"/>
    </row>
    <row r="57" spans="3:9" x14ac:dyDescent="0.35">
      <c r="C57" s="36">
        <v>51</v>
      </c>
      <c r="D57" s="9">
        <v>49.816543135410164</v>
      </c>
      <c r="E57" s="9">
        <v>49.814463781954068</v>
      </c>
      <c r="F57" s="10">
        <f t="shared" si="0"/>
        <v>2.0793534560965554E-3</v>
      </c>
    </row>
    <row r="58" spans="3:9" x14ac:dyDescent="0.35">
      <c r="C58" s="36">
        <v>53</v>
      </c>
      <c r="D58" s="9">
        <v>47.865400003680584</v>
      </c>
      <c r="E58" s="9">
        <v>47.861676649994031</v>
      </c>
      <c r="F58" s="10">
        <f t="shared" si="0"/>
        <v>3.7233536865528549E-3</v>
      </c>
    </row>
    <row r="59" spans="3:9" x14ac:dyDescent="0.35">
      <c r="C59" s="36">
        <v>55</v>
      </c>
      <c r="D59" s="9">
        <v>45.91425687195099</v>
      </c>
      <c r="E59" s="9">
        <v>45.916419999853176</v>
      </c>
      <c r="F59" s="10">
        <f t="shared" si="0"/>
        <v>-2.1631279021860905E-3</v>
      </c>
    </row>
    <row r="60" spans="3:9" x14ac:dyDescent="0.35">
      <c r="C60" s="36">
        <v>57</v>
      </c>
      <c r="D60" s="9">
        <v>43.966198562295077</v>
      </c>
      <c r="E60" s="9">
        <v>43.98110281855503</v>
      </c>
      <c r="F60" s="10">
        <f t="shared" si="0"/>
        <v>-1.4904256259953286E-2</v>
      </c>
    </row>
    <row r="61" spans="3:9" x14ac:dyDescent="0.35">
      <c r="C61" s="36">
        <v>59</v>
      </c>
      <c r="D61" s="9">
        <v>42.06695003173494</v>
      </c>
      <c r="E61" s="9">
        <v>42.058538850509613</v>
      </c>
      <c r="F61" s="10">
        <f t="shared" si="0"/>
        <v>8.4111812253269136E-3</v>
      </c>
    </row>
    <row r="62" spans="3:9" x14ac:dyDescent="0.35">
      <c r="C62" s="36">
        <v>61</v>
      </c>
      <c r="D62" s="9">
        <v>40.167701501174783</v>
      </c>
      <c r="E62" s="9">
        <v>40.151922665731306</v>
      </c>
      <c r="F62" s="10">
        <f t="shared" si="0"/>
        <v>1.5778835443477135E-2</v>
      </c>
    </row>
    <row r="63" spans="3:9" x14ac:dyDescent="0.35">
      <c r="C63" s="36">
        <v>63</v>
      </c>
      <c r="D63" s="9">
        <v>38.268452970614646</v>
      </c>
      <c r="E63" s="9">
        <v>38.264786384004253</v>
      </c>
      <c r="F63" s="10">
        <f t="shared" si="0"/>
        <v>3.6665866103930966E-3</v>
      </c>
    </row>
    <row r="64" spans="3:9" x14ac:dyDescent="0.35">
      <c r="C64" s="36">
        <v>65</v>
      </c>
      <c r="D64" s="9">
        <v>36.369204440054503</v>
      </c>
      <c r="E64" s="9">
        <v>36.40093913709584</v>
      </c>
      <c r="F64" s="10">
        <f t="shared" si="0"/>
        <v>-3.1734697041336801E-2</v>
      </c>
    </row>
    <row r="65" spans="3:6" x14ac:dyDescent="0.35">
      <c r="C65" s="36">
        <v>67</v>
      </c>
      <c r="D65" s="9">
        <v>34.555533791521356</v>
      </c>
      <c r="E65" s="9">
        <v>34.564392518589948</v>
      </c>
      <c r="F65" s="10">
        <f t="shared" si="0"/>
        <v>-8.8587270685920316E-3</v>
      </c>
    </row>
    <row r="66" spans="3:6" x14ac:dyDescent="0.35">
      <c r="C66" s="36">
        <v>69</v>
      </c>
      <c r="D66" s="9">
        <v>32.793540452793287</v>
      </c>
      <c r="E66" s="9">
        <v>32.759276064762588</v>
      </c>
      <c r="F66" s="10">
        <f t="shared" si="0"/>
        <v>3.4264388030699422E-2</v>
      </c>
    </row>
    <row r="67" spans="3:6" x14ac:dyDescent="0.35">
      <c r="C67" s="36">
        <v>71</v>
      </c>
      <c r="D67" s="9">
        <v>31.031547114065219</v>
      </c>
      <c r="E67" s="9">
        <v>30.98974720437058</v>
      </c>
      <c r="F67" s="10">
        <f t="shared" si="0"/>
        <v>4.179990969463887E-2</v>
      </c>
    </row>
    <row r="68" spans="3:6" x14ac:dyDescent="0.35">
      <c r="C68" s="36">
        <v>73</v>
      </c>
      <c r="D68" s="9">
        <v>29.269553775337155</v>
      </c>
      <c r="E68" s="9">
        <v>29.259900131873458</v>
      </c>
      <c r="F68" s="10">
        <f t="shared" si="0"/>
        <v>9.6536434636966817E-3</v>
      </c>
    </row>
    <row r="69" spans="3:6" x14ac:dyDescent="0.35">
      <c r="C69" s="36">
        <v>75</v>
      </c>
      <c r="D69" s="9">
        <v>27.50756043660909</v>
      </c>
      <c r="E69" s="9">
        <v>27.57367775349659</v>
      </c>
      <c r="F69" s="10">
        <f t="shared" si="0"/>
        <v>-6.6117316887499555E-2</v>
      </c>
    </row>
    <row r="70" spans="3:6" x14ac:dyDescent="0.35">
      <c r="C70" s="36">
        <v>77</v>
      </c>
      <c r="D70" s="9">
        <v>25.879420062305865</v>
      </c>
      <c r="E70" s="9">
        <v>25.934790305077431</v>
      </c>
      <c r="F70" s="10">
        <f t="shared" si="0"/>
        <v>-5.5370242771566325E-2</v>
      </c>
    </row>
    <row r="71" spans="3:6" x14ac:dyDescent="0.35">
      <c r="C71" s="36">
        <v>79</v>
      </c>
      <c r="D71" s="9">
        <v>24.38747748204193</v>
      </c>
      <c r="E71" s="9">
        <v>24.346643528734578</v>
      </c>
      <c r="F71" s="10">
        <f t="shared" si="0"/>
        <v>4.0833953307352289E-2</v>
      </c>
    </row>
    <row r="72" spans="3:6" x14ac:dyDescent="0.35">
      <c r="C72" s="36">
        <v>81</v>
      </c>
      <c r="D72" s="9">
        <v>22.895534901777992</v>
      </c>
      <c r="E72" s="9">
        <v>22.812278503146825</v>
      </c>
      <c r="F72" s="10">
        <f t="shared" si="0"/>
        <v>8.3256398631167627E-2</v>
      </c>
    </row>
    <row r="73" spans="3:6" x14ac:dyDescent="0.35">
      <c r="C73" s="36">
        <v>83</v>
      </c>
      <c r="D73" s="9">
        <v>21.403592321514054</v>
      </c>
      <c r="E73" s="9">
        <v>21.334324420632889</v>
      </c>
      <c r="F73" s="10">
        <f t="shared" si="0"/>
        <v>6.926790088116519E-2</v>
      </c>
    </row>
    <row r="74" spans="3:6" x14ac:dyDescent="0.35">
      <c r="C74" s="36">
        <v>85</v>
      </c>
      <c r="D74" s="9">
        <v>19.91164974125012</v>
      </c>
      <c r="E74" s="9">
        <v>19.914964850006466</v>
      </c>
      <c r="F74" s="10">
        <f t="shared" si="0"/>
        <v>-3.315108756346774E-3</v>
      </c>
    </row>
    <row r="75" spans="3:6" x14ac:dyDescent="0.35">
      <c r="C75" s="36">
        <v>87</v>
      </c>
      <c r="D75" s="9">
        <v>18.419707160986185</v>
      </c>
      <c r="E75" s="9">
        <v>18.555917358185638</v>
      </c>
      <c r="F75" s="10">
        <f t="shared" si="0"/>
        <v>-0.13621019719945338</v>
      </c>
    </row>
    <row r="76" spans="3:6" x14ac:dyDescent="0.35">
      <c r="C76" s="36">
        <v>89</v>
      </c>
      <c r="D76" s="9">
        <v>17.15200173346533</v>
      </c>
      <c r="E76" s="9">
        <v>17.258425811127523</v>
      </c>
      <c r="F76" s="10">
        <f t="shared" si="0"/>
        <v>-0.10642407766219364</v>
      </c>
    </row>
    <row r="77" spans="3:6" x14ac:dyDescent="0.35">
      <c r="C77" s="36">
        <v>91</v>
      </c>
      <c r="D77" s="9">
        <v>16.054828882115721</v>
      </c>
      <c r="E77" s="9">
        <v>16.023264247481979</v>
      </c>
      <c r="F77" s="10">
        <f t="shared" si="0"/>
        <v>3.1564634633742372E-2</v>
      </c>
    </row>
    <row r="78" spans="3:6" x14ac:dyDescent="0.35">
      <c r="C78" s="36">
        <f>C77+0.5</f>
        <v>91.5</v>
      </c>
      <c r="D78" s="9">
        <v>15.506242456440923</v>
      </c>
      <c r="E78" s="9">
        <v>15.42917389971832</v>
      </c>
      <c r="F78" s="10">
        <f t="shared" si="0"/>
        <v>7.7068556722602821E-2</v>
      </c>
    </row>
    <row r="79" spans="3:6" x14ac:dyDescent="0.35">
      <c r="C79" s="36">
        <f t="shared" ref="C79:C94" si="1">C78+0.5</f>
        <v>92</v>
      </c>
      <c r="D79" s="9">
        <v>15.506242456440923</v>
      </c>
      <c r="E79" s="9">
        <v>15.42917389971832</v>
      </c>
      <c r="F79" s="10">
        <f t="shared" si="0"/>
        <v>7.7068556722602821E-2</v>
      </c>
    </row>
    <row r="80" spans="3:6" x14ac:dyDescent="0.35">
      <c r="C80" s="36">
        <f t="shared" si="1"/>
        <v>92.5</v>
      </c>
      <c r="D80" s="9">
        <v>15.506242456440923</v>
      </c>
      <c r="E80" s="9">
        <v>15.42917389971832</v>
      </c>
      <c r="F80" s="10">
        <f t="shared" si="0"/>
        <v>7.7068556722602821E-2</v>
      </c>
    </row>
    <row r="81" spans="3:6" x14ac:dyDescent="0.35">
      <c r="C81" s="36">
        <f t="shared" si="1"/>
        <v>93</v>
      </c>
      <c r="D81" s="9">
        <v>14.957656030766119</v>
      </c>
      <c r="E81" s="9">
        <v>14.850750916850078</v>
      </c>
      <c r="F81" s="10">
        <f t="shared" si="0"/>
        <v>0.10690511391604041</v>
      </c>
    </row>
    <row r="82" spans="3:6" x14ac:dyDescent="0.35">
      <c r="C82" s="36">
        <f t="shared" si="1"/>
        <v>93.5</v>
      </c>
      <c r="D82" s="9">
        <v>14.409069605091316</v>
      </c>
      <c r="E82" s="9">
        <v>14.287967577594443</v>
      </c>
      <c r="F82" s="10">
        <f t="shared" si="0"/>
        <v>0.12110202749687282</v>
      </c>
    </row>
    <row r="83" spans="3:6" x14ac:dyDescent="0.35">
      <c r="C83" s="36">
        <f t="shared" si="1"/>
        <v>94</v>
      </c>
      <c r="D83" s="9">
        <v>14.409069605091316</v>
      </c>
      <c r="E83" s="9">
        <v>14.287967577594443</v>
      </c>
      <c r="F83" s="10">
        <f t="shared" ref="F83:F114" si="2">$D83-$E83</f>
        <v>0.12110202749687282</v>
      </c>
    </row>
    <row r="84" spans="3:6" x14ac:dyDescent="0.35">
      <c r="C84" s="36">
        <f t="shared" si="1"/>
        <v>94.5</v>
      </c>
      <c r="D84" s="9">
        <v>14.409069605091316</v>
      </c>
      <c r="E84" s="9">
        <v>14.287967577594443</v>
      </c>
      <c r="F84" s="10">
        <f t="shared" si="2"/>
        <v>0.12110202749687282</v>
      </c>
    </row>
    <row r="85" spans="3:6" x14ac:dyDescent="0.35">
      <c r="C85" s="36">
        <f t="shared" si="1"/>
        <v>95</v>
      </c>
      <c r="D85" s="9">
        <v>13.860483179416512</v>
      </c>
      <c r="E85" s="9">
        <v>13.740770890715178</v>
      </c>
      <c r="F85" s="10">
        <f t="shared" si="2"/>
        <v>0.11971228870133466</v>
      </c>
    </row>
    <row r="86" spans="3:6" x14ac:dyDescent="0.35">
      <c r="C86" s="36">
        <f t="shared" si="1"/>
        <v>95.5</v>
      </c>
      <c r="D86" s="9">
        <v>13.31189675374171</v>
      </c>
      <c r="E86" s="9">
        <v>13.209083652697963</v>
      </c>
      <c r="F86" s="10">
        <f t="shared" si="2"/>
        <v>0.10281310104374697</v>
      </c>
    </row>
    <row r="87" spans="3:6" x14ac:dyDescent="0.35">
      <c r="C87" s="36">
        <f t="shared" si="1"/>
        <v>96</v>
      </c>
      <c r="D87" s="9">
        <v>13.31189675374171</v>
      </c>
      <c r="E87" s="9">
        <v>13.209083652697963</v>
      </c>
      <c r="F87" s="10">
        <f t="shared" si="2"/>
        <v>0.10281310104374697</v>
      </c>
    </row>
    <row r="88" spans="3:6" x14ac:dyDescent="0.35">
      <c r="C88" s="36">
        <f t="shared" si="1"/>
        <v>96.5</v>
      </c>
      <c r="D88" s="9">
        <v>13.31189675374171</v>
      </c>
      <c r="E88" s="9">
        <v>13.209083652697963</v>
      </c>
      <c r="F88" s="10">
        <f t="shared" si="2"/>
        <v>0.10281310104374697</v>
      </c>
    </row>
    <row r="89" spans="3:6" x14ac:dyDescent="0.35">
      <c r="C89" s="36">
        <f t="shared" si="1"/>
        <v>97</v>
      </c>
      <c r="D89" s="9">
        <v>12.763310328066904</v>
      </c>
      <c r="E89" s="9">
        <v>12.692805574319072</v>
      </c>
      <c r="F89" s="10">
        <f t="shared" si="2"/>
        <v>7.0504753747831828E-2</v>
      </c>
    </row>
    <row r="90" spans="3:6" x14ac:dyDescent="0.35">
      <c r="C90" s="36">
        <f t="shared" si="1"/>
        <v>97.5</v>
      </c>
      <c r="D90" s="9">
        <v>12.2147239023921</v>
      </c>
      <c r="E90" s="9">
        <v>12.191814463835778</v>
      </c>
      <c r="F90" s="10">
        <f t="shared" si="2"/>
        <v>2.2909438556322215E-2</v>
      </c>
    </row>
    <row r="91" spans="3:6" x14ac:dyDescent="0.35">
      <c r="C91" s="36">
        <f t="shared" si="1"/>
        <v>98</v>
      </c>
      <c r="D91" s="9">
        <v>12.2147239023921</v>
      </c>
      <c r="E91" s="9">
        <v>12.191814463835778</v>
      </c>
      <c r="F91" s="10">
        <f t="shared" si="2"/>
        <v>2.2909438556322215E-2</v>
      </c>
    </row>
    <row r="92" spans="3:6" x14ac:dyDescent="0.35">
      <c r="C92" s="36">
        <f t="shared" si="1"/>
        <v>98.5</v>
      </c>
      <c r="D92" s="9">
        <v>12.2147239023921</v>
      </c>
      <c r="E92" s="9">
        <v>12.191814463835778</v>
      </c>
      <c r="F92" s="10">
        <f t="shared" si="2"/>
        <v>2.2909438556322215E-2</v>
      </c>
    </row>
    <row r="93" spans="3:6" x14ac:dyDescent="0.35">
      <c r="C93" s="36">
        <f t="shared" si="1"/>
        <v>99</v>
      </c>
      <c r="D93" s="9">
        <v>11.666137476717298</v>
      </c>
      <c r="E93" s="9">
        <v>11.705967455040035</v>
      </c>
      <c r="F93" s="10">
        <f t="shared" si="2"/>
        <v>-3.9829978322737603E-2</v>
      </c>
    </row>
    <row r="94" spans="3:6" x14ac:dyDescent="0.35">
      <c r="C94" s="36">
        <f t="shared" si="1"/>
        <v>99.5</v>
      </c>
      <c r="D94" s="9">
        <v>11.117551051042495</v>
      </c>
      <c r="E94" s="9">
        <v>11.23510226900313</v>
      </c>
      <c r="F94" s="10">
        <f t="shared" si="2"/>
        <v>-0.11755121796063506</v>
      </c>
    </row>
    <row r="95" spans="3:6" x14ac:dyDescent="0.35">
      <c r="C95" s="36">
        <v>101</v>
      </c>
      <c r="D95" s="9">
        <v>10.568964625367693</v>
      </c>
      <c r="E95" s="9">
        <v>10.779038498983725</v>
      </c>
      <c r="F95" s="10">
        <f t="shared" si="2"/>
        <v>-0.21007387361603236</v>
      </c>
    </row>
    <row r="96" spans="3:6" x14ac:dyDescent="0.35">
      <c r="C96" s="36">
        <f>C95+2</f>
        <v>103</v>
      </c>
      <c r="D96" s="9">
        <v>9.7775981966023728</v>
      </c>
      <c r="E96" s="9">
        <v>9.9105107345724193</v>
      </c>
      <c r="F96" s="10">
        <f t="shared" si="2"/>
        <v>-0.13291253797004643</v>
      </c>
    </row>
    <row r="97" spans="3:6" x14ac:dyDescent="0.35">
      <c r="C97" s="36">
        <f t="shared" ref="C97:C155" si="3">C96+2</f>
        <v>105</v>
      </c>
      <c r="D97" s="9">
        <v>9.1076294281770185</v>
      </c>
      <c r="E97" s="9">
        <v>9.0986277233113508</v>
      </c>
      <c r="F97" s="10">
        <f t="shared" si="2"/>
        <v>9.0017048656676479E-3</v>
      </c>
    </row>
    <row r="98" spans="3:6" x14ac:dyDescent="0.35">
      <c r="C98" s="36">
        <f t="shared" si="3"/>
        <v>107</v>
      </c>
      <c r="D98" s="9">
        <v>8.4376606597516641</v>
      </c>
      <c r="E98" s="9">
        <v>8.3414257990534573</v>
      </c>
      <c r="F98" s="10">
        <f t="shared" si="2"/>
        <v>9.6234860698206859E-2</v>
      </c>
    </row>
    <row r="99" spans="3:6" x14ac:dyDescent="0.35">
      <c r="C99" s="36">
        <f t="shared" si="3"/>
        <v>109</v>
      </c>
      <c r="D99" s="9">
        <v>7.7676918913263089</v>
      </c>
      <c r="E99" s="9">
        <v>7.6367741457888147</v>
      </c>
      <c r="F99" s="10">
        <f t="shared" si="2"/>
        <v>0.13091774553749413</v>
      </c>
    </row>
    <row r="100" spans="3:6" x14ac:dyDescent="0.35">
      <c r="C100" s="36">
        <f t="shared" si="3"/>
        <v>111</v>
      </c>
      <c r="D100" s="9">
        <v>7.0977231229009563</v>
      </c>
      <c r="E100" s="9">
        <v>6.9824129705464113</v>
      </c>
      <c r="F100" s="10">
        <f t="shared" si="2"/>
        <v>0.115310152354545</v>
      </c>
    </row>
    <row r="101" spans="3:6" x14ac:dyDescent="0.35">
      <c r="C101" s="36">
        <f t="shared" si="3"/>
        <v>113</v>
      </c>
      <c r="D101" s="9">
        <v>6.4277543544756028</v>
      </c>
      <c r="E101" s="9">
        <v>6.3759892050947009</v>
      </c>
      <c r="F101" s="10">
        <f t="shared" si="2"/>
        <v>5.1765149380901931E-2</v>
      </c>
    </row>
    <row r="102" spans="3:6" x14ac:dyDescent="0.35">
      <c r="C102" s="36">
        <f t="shared" si="3"/>
        <v>115</v>
      </c>
      <c r="D102" s="9">
        <v>5.7577855860502485</v>
      </c>
      <c r="E102" s="9">
        <v>5.8150893326189923</v>
      </c>
      <c r="F102" s="10">
        <f t="shared" si="2"/>
        <v>-5.7303746568743819E-2</v>
      </c>
    </row>
    <row r="103" spans="3:6" x14ac:dyDescent="0.35">
      <c r="C103" s="36">
        <f t="shared" si="3"/>
        <v>117</v>
      </c>
      <c r="D103" s="9">
        <v>5.087816817624895</v>
      </c>
      <c r="E103" s="9">
        <v>5.2972690801791176</v>
      </c>
      <c r="F103" s="10">
        <f t="shared" si="2"/>
        <v>-0.20945226255422256</v>
      </c>
    </row>
    <row r="104" spans="3:6" x14ac:dyDescent="0.35">
      <c r="C104" s="36">
        <f t="shared" si="3"/>
        <v>119</v>
      </c>
      <c r="D104" s="9">
        <v>4.6893065274005012</v>
      </c>
      <c r="E104" s="9">
        <v>4.8200798428216052</v>
      </c>
      <c r="F104" s="10">
        <f t="shared" si="2"/>
        <v>-0.13077331542110393</v>
      </c>
    </row>
    <row r="105" spans="3:6" x14ac:dyDescent="0.35">
      <c r="C105" s="36">
        <f t="shared" si="3"/>
        <v>121</v>
      </c>
      <c r="D105" s="9">
        <v>4.3608421396218899</v>
      </c>
      <c r="E105" s="9">
        <v>4.3810918102952519</v>
      </c>
      <c r="F105" s="10">
        <f t="shared" si="2"/>
        <v>-2.0249670673361919E-2</v>
      </c>
    </row>
    <row r="106" spans="3:6" x14ac:dyDescent="0.35">
      <c r="C106" s="36">
        <f t="shared" si="3"/>
        <v>123</v>
      </c>
      <c r="D106" s="9">
        <v>4.0323777518432768</v>
      </c>
      <c r="E106" s="9">
        <v>3.9779138529107283</v>
      </c>
      <c r="F106" s="10">
        <f t="shared" si="2"/>
        <v>5.4463898932548549E-2</v>
      </c>
    </row>
    <row r="107" spans="3:6" x14ac:dyDescent="0.35">
      <c r="C107" s="36">
        <f t="shared" si="3"/>
        <v>125</v>
      </c>
      <c r="D107" s="9">
        <v>3.7039133640646669</v>
      </c>
      <c r="E107" s="9">
        <v>3.608210290381483</v>
      </c>
      <c r="F107" s="10">
        <f t="shared" si="2"/>
        <v>9.570307368318387E-2</v>
      </c>
    </row>
    <row r="108" spans="3:6" x14ac:dyDescent="0.35">
      <c r="C108" s="36">
        <f t="shared" si="3"/>
        <v>127</v>
      </c>
      <c r="D108" s="9">
        <v>3.3754489762860542</v>
      </c>
      <c r="E108" s="9">
        <v>3.2697147181329331</v>
      </c>
      <c r="F108" s="10">
        <f t="shared" si="2"/>
        <v>0.1057342581531211</v>
      </c>
    </row>
    <row r="109" spans="3:6" x14ac:dyDescent="0.35">
      <c r="C109" s="36">
        <f t="shared" si="3"/>
        <v>129</v>
      </c>
      <c r="D109" s="9">
        <v>3.0469845885074429</v>
      </c>
      <c r="E109" s="9">
        <v>2.9602411014706673</v>
      </c>
      <c r="F109" s="10">
        <f t="shared" si="2"/>
        <v>8.6743487036775591E-2</v>
      </c>
    </row>
    <row r="110" spans="3:6" x14ac:dyDescent="0.35">
      <c r="C110" s="36">
        <f t="shared" si="3"/>
        <v>131</v>
      </c>
      <c r="D110" s="9">
        <v>2.7185202007288316</v>
      </c>
      <c r="E110" s="9">
        <v>2.677692371177558</v>
      </c>
      <c r="F110" s="10">
        <f t="shared" si="2"/>
        <v>4.082782955127362E-2</v>
      </c>
    </row>
    <row r="111" spans="3:6" x14ac:dyDescent="0.35">
      <c r="C111" s="36">
        <f t="shared" si="3"/>
        <v>133</v>
      </c>
      <c r="D111" s="9">
        <v>2.3900558129502203</v>
      </c>
      <c r="E111" s="9">
        <v>2.4200667665743247</v>
      </c>
      <c r="F111" s="10">
        <f t="shared" si="2"/>
        <v>-3.0010953624104442E-2</v>
      </c>
    </row>
    <row r="112" spans="3:6" x14ac:dyDescent="0.35">
      <c r="C112" s="36">
        <f t="shared" si="3"/>
        <v>135</v>
      </c>
      <c r="D112" s="9">
        <v>2.061591425171609</v>
      </c>
      <c r="E112" s="9">
        <v>2.1854621757584254</v>
      </c>
      <c r="F112" s="10">
        <f t="shared" si="2"/>
        <v>-0.1238707505868164</v>
      </c>
    </row>
    <row r="113" spans="3:6" x14ac:dyDescent="0.35">
      <c r="C113" s="36">
        <f t="shared" si="3"/>
        <v>137</v>
      </c>
      <c r="D113" s="9">
        <v>1.862162669882012</v>
      </c>
      <c r="E113" s="9">
        <v>1.9720787194151932</v>
      </c>
      <c r="F113" s="10">
        <f t="shared" si="2"/>
        <v>-0.10991604953318124</v>
      </c>
    </row>
    <row r="114" spans="3:6" x14ac:dyDescent="0.35">
      <c r="C114" s="36">
        <f t="shared" si="3"/>
        <v>139</v>
      </c>
      <c r="D114" s="9">
        <v>1.7357908175038019</v>
      </c>
      <c r="E114" s="9">
        <v>1.7782198158807776</v>
      </c>
      <c r="F114" s="10">
        <f t="shared" si="2"/>
        <v>-4.2428998376975668E-2</v>
      </c>
    </row>
    <row r="115" spans="3:6" x14ac:dyDescent="0.35">
      <c r="C115" s="36">
        <f t="shared" si="3"/>
        <v>141</v>
      </c>
      <c r="D115" s="9">
        <v>1.6094189651255919</v>
      </c>
      <c r="E115" s="9">
        <v>1.6022919524395991</v>
      </c>
      <c r="F115" s="10">
        <f t="shared" ref="F115:F146" si="4">$D115-$E115</f>
        <v>7.1270126859928062E-3</v>
      </c>
    </row>
    <row r="116" spans="3:6" x14ac:dyDescent="0.35">
      <c r="C116" s="36">
        <f t="shared" si="3"/>
        <v>143</v>
      </c>
      <c r="D116" s="9">
        <v>1.4830471127473812</v>
      </c>
      <c r="E116" s="9">
        <v>1.4428033723743852</v>
      </c>
      <c r="F116" s="10">
        <f t="shared" si="4"/>
        <v>4.0243740372996051E-2</v>
      </c>
    </row>
    <row r="117" spans="3:6" x14ac:dyDescent="0.35">
      <c r="C117" s="36">
        <f t="shared" si="3"/>
        <v>145</v>
      </c>
      <c r="D117" s="9">
        <v>1.3566752603691707</v>
      </c>
      <c r="E117" s="9">
        <v>1.2983618700710831</v>
      </c>
      <c r="F117" s="10">
        <f t="shared" si="4"/>
        <v>5.8313390298087686E-2</v>
      </c>
    </row>
    <row r="118" spans="3:6" x14ac:dyDescent="0.35">
      <c r="C118" s="36">
        <f t="shared" si="3"/>
        <v>147</v>
      </c>
      <c r="D118" s="9">
        <v>1.2303034079909603</v>
      </c>
      <c r="E118" s="9">
        <v>1.1676718683517138</v>
      </c>
      <c r="F118" s="10">
        <f t="shared" si="4"/>
        <v>6.2631539639246503E-2</v>
      </c>
    </row>
    <row r="119" spans="3:6" x14ac:dyDescent="0.35">
      <c r="C119" s="36">
        <f t="shared" si="3"/>
        <v>149</v>
      </c>
      <c r="D119" s="9">
        <v>1.1039315556127502</v>
      </c>
      <c r="E119" s="9">
        <v>1.0495309338360239</v>
      </c>
      <c r="F119" s="10">
        <f t="shared" si="4"/>
        <v>5.4400621776726332E-2</v>
      </c>
    </row>
    <row r="120" spans="3:6" x14ac:dyDescent="0.35">
      <c r="C120" s="36">
        <f t="shared" si="3"/>
        <v>151</v>
      </c>
      <c r="D120" s="9">
        <v>0.97755970323453978</v>
      </c>
      <c r="E120" s="9">
        <v>0.94282586803849922</v>
      </c>
      <c r="F120" s="10">
        <f t="shared" si="4"/>
        <v>3.4733835196040563E-2</v>
      </c>
    </row>
    <row r="121" spans="3:6" x14ac:dyDescent="0.35">
      <c r="C121" s="36">
        <f t="shared" si="3"/>
        <v>153</v>
      </c>
      <c r="D121" s="9">
        <v>0.85118785085632942</v>
      </c>
      <c r="E121" s="9">
        <v>0.84652849448570588</v>
      </c>
      <c r="F121" s="10">
        <f t="shared" si="4"/>
        <v>4.6593563706235352E-3</v>
      </c>
    </row>
    <row r="122" spans="3:6" x14ac:dyDescent="0.35">
      <c r="C122" s="36">
        <f t="shared" si="3"/>
        <v>155</v>
      </c>
      <c r="D122" s="9">
        <v>0.72481599847811906</v>
      </c>
      <c r="E122" s="9">
        <v>0.7596912456725915</v>
      </c>
      <c r="F122" s="10">
        <f t="shared" si="4"/>
        <v>-3.4875247194472436E-2</v>
      </c>
    </row>
    <row r="123" spans="3:6" x14ac:dyDescent="0.35">
      <c r="C123" s="36">
        <f t="shared" si="3"/>
        <v>157</v>
      </c>
      <c r="D123" s="9">
        <v>0.60323866898131839</v>
      </c>
      <c r="E123" s="9">
        <v>0.68144263835667107</v>
      </c>
      <c r="F123" s="10">
        <f t="shared" si="4"/>
        <v>-7.8203969375352678E-2</v>
      </c>
    </row>
    <row r="124" spans="3:6" x14ac:dyDescent="0.35">
      <c r="C124" s="36">
        <f t="shared" si="3"/>
        <v>159</v>
      </c>
      <c r="D124" s="9">
        <v>0.56572267929642683</v>
      </c>
      <c r="E124" s="9">
        <v>0.61098271163201234</v>
      </c>
      <c r="F124" s="10">
        <f t="shared" si="4"/>
        <v>-4.5260032335585509E-2</v>
      </c>
    </row>
    <row r="125" spans="3:6" x14ac:dyDescent="0.35">
      <c r="C125" s="36">
        <f t="shared" si="3"/>
        <v>161</v>
      </c>
      <c r="D125" s="9">
        <v>0.52820668961153527</v>
      </c>
      <c r="E125" s="9">
        <v>0.54757848948624954</v>
      </c>
      <c r="F125" s="10">
        <f t="shared" si="4"/>
        <v>-1.9371799874714268E-2</v>
      </c>
    </row>
    <row r="126" spans="3:6" x14ac:dyDescent="0.35">
      <c r="C126" s="36">
        <f t="shared" si="3"/>
        <v>163</v>
      </c>
      <c r="D126" s="9">
        <v>0.49069069992664366</v>
      </c>
      <c r="E126" s="9">
        <v>0.49055951813050525</v>
      </c>
      <c r="F126" s="10">
        <f t="shared" si="4"/>
        <v>1.3118179613841319E-4</v>
      </c>
    </row>
    <row r="127" spans="3:6" x14ac:dyDescent="0.35">
      <c r="C127" s="36">
        <f t="shared" si="3"/>
        <v>165</v>
      </c>
      <c r="D127" s="9">
        <v>0.4531747102417521</v>
      </c>
      <c r="E127" s="9">
        <v>0.43931351827718895</v>
      </c>
      <c r="F127" s="10">
        <f t="shared" si="4"/>
        <v>1.3861191964563147E-2</v>
      </c>
    </row>
    <row r="128" spans="3:6" x14ac:dyDescent="0.35">
      <c r="C128" s="36">
        <f t="shared" si="3"/>
        <v>167</v>
      </c>
      <c r="D128" s="9">
        <v>0.41565872055686054</v>
      </c>
      <c r="E128" s="9">
        <v>0.39328218366842022</v>
      </c>
      <c r="F128" s="10">
        <f t="shared" si="4"/>
        <v>2.2376536888440324E-2</v>
      </c>
    </row>
    <row r="129" spans="3:6" x14ac:dyDescent="0.35">
      <c r="C129" s="36">
        <f t="shared" si="3"/>
        <v>169</v>
      </c>
      <c r="D129" s="9">
        <v>0.37814273087196892</v>
      </c>
      <c r="E129" s="9">
        <v>0.35195714945573298</v>
      </c>
      <c r="F129" s="10">
        <f t="shared" si="4"/>
        <v>2.6185581416235948E-2</v>
      </c>
    </row>
    <row r="130" spans="3:6" x14ac:dyDescent="0.35">
      <c r="C130" s="36">
        <f t="shared" si="3"/>
        <v>171</v>
      </c>
      <c r="D130" s="9">
        <v>0.34062674118707742</v>
      </c>
      <c r="E130" s="9">
        <v>0.31487614741416703</v>
      </c>
      <c r="F130" s="10">
        <f t="shared" si="4"/>
        <v>2.5750593772910391E-2</v>
      </c>
    </row>
    <row r="131" spans="3:6" x14ac:dyDescent="0.35">
      <c r="C131" s="36">
        <f t="shared" si="3"/>
        <v>173</v>
      </c>
      <c r="D131" s="9">
        <v>0.30311075150218592</v>
      </c>
      <c r="E131" s="9">
        <v>0.28161935934918014</v>
      </c>
      <c r="F131" s="10">
        <f t="shared" si="4"/>
        <v>2.1491392153005773E-2</v>
      </c>
    </row>
    <row r="132" spans="3:6" x14ac:dyDescent="0.35">
      <c r="C132" s="36">
        <f t="shared" si="3"/>
        <v>175</v>
      </c>
      <c r="D132" s="9">
        <v>0.2655947618172943</v>
      </c>
      <c r="E132" s="9">
        <v>0.25180597532805038</v>
      </c>
      <c r="F132" s="10">
        <f t="shared" si="4"/>
        <v>1.378878648924392E-2</v>
      </c>
    </row>
    <row r="133" spans="3:6" x14ac:dyDescent="0.35">
      <c r="C133" s="36">
        <f t="shared" si="3"/>
        <v>177</v>
      </c>
      <c r="D133" s="9">
        <v>0.22807877213240274</v>
      </c>
      <c r="E133" s="9">
        <v>0.22509095944462529</v>
      </c>
      <c r="F133" s="10">
        <f t="shared" si="4"/>
        <v>2.9878126877774525E-3</v>
      </c>
    </row>
    <row r="134" spans="3:6" x14ac:dyDescent="0.35">
      <c r="C134" s="36">
        <f t="shared" si="3"/>
        <v>179</v>
      </c>
      <c r="D134" s="9">
        <v>0.19056278244751115</v>
      </c>
      <c r="E134" s="9">
        <v>0.20116202261609467</v>
      </c>
      <c r="F134" s="10">
        <f t="shared" si="4"/>
        <v>-1.0599240168583518E-2</v>
      </c>
    </row>
    <row r="135" spans="3:6" x14ac:dyDescent="0.35">
      <c r="C135" s="36">
        <f t="shared" si="3"/>
        <v>181</v>
      </c>
      <c r="D135" s="9">
        <v>0.15304679276261962</v>
      </c>
      <c r="E135" s="9">
        <v>0.17973679932572437</v>
      </c>
      <c r="F135" s="10">
        <f t="shared" si="4"/>
        <v>-2.6690006563104746E-2</v>
      </c>
    </row>
    <row r="136" spans="3:6" x14ac:dyDescent="0.35">
      <c r="C136" s="36">
        <f t="shared" si="3"/>
        <v>183</v>
      </c>
      <c r="D136" s="9">
        <v>0.13931899149258298</v>
      </c>
      <c r="E136" s="9">
        <v>0.16056022318547244</v>
      </c>
      <c r="F136" s="10">
        <f t="shared" si="4"/>
        <v>-2.1241231692889467E-2</v>
      </c>
    </row>
    <row r="137" spans="3:6" x14ac:dyDescent="0.35">
      <c r="C137" s="36">
        <f t="shared" si="3"/>
        <v>185</v>
      </c>
      <c r="D137" s="9">
        <v>0.13086543157878139</v>
      </c>
      <c r="E137" s="9">
        <v>0.14340209462157763</v>
      </c>
      <c r="F137" s="10">
        <f t="shared" si="4"/>
        <v>-1.2536663042796242E-2</v>
      </c>
    </row>
    <row r="138" spans="3:6" x14ac:dyDescent="0.35">
      <c r="C138" s="36">
        <f t="shared" si="3"/>
        <v>187</v>
      </c>
      <c r="D138" s="9">
        <v>0.12241187166497981</v>
      </c>
      <c r="E138" s="9">
        <v>0.12805483281671612</v>
      </c>
      <c r="F138" s="10">
        <f t="shared" si="4"/>
        <v>-5.642961151736306E-3</v>
      </c>
    </row>
    <row r="139" spans="3:6" x14ac:dyDescent="0.35">
      <c r="C139" s="36">
        <f t="shared" si="3"/>
        <v>189</v>
      </c>
      <c r="D139" s="9">
        <v>0.11395831175117822</v>
      </c>
      <c r="E139" s="9">
        <v>0.11433140321209652</v>
      </c>
      <c r="F139" s="10">
        <f t="shared" si="4"/>
        <v>-3.7309146091829559E-4</v>
      </c>
    </row>
    <row r="140" spans="3:6" x14ac:dyDescent="0.35">
      <c r="C140" s="36">
        <f t="shared" si="3"/>
        <v>191</v>
      </c>
      <c r="D140" s="9">
        <v>0.10550475183737662</v>
      </c>
      <c r="E140" s="9">
        <v>0.10206341132735745</v>
      </c>
      <c r="F140" s="10">
        <f t="shared" si="4"/>
        <v>3.4413405100191669E-3</v>
      </c>
    </row>
    <row r="141" spans="3:6" x14ac:dyDescent="0.35">
      <c r="C141" s="36">
        <f t="shared" si="3"/>
        <v>193</v>
      </c>
      <c r="D141" s="9">
        <v>9.7051191923574989E-2</v>
      </c>
      <c r="E141" s="9">
        <v>9.1099353346055775E-2</v>
      </c>
      <c r="F141" s="10">
        <f t="shared" si="4"/>
        <v>5.951838577519214E-3</v>
      </c>
    </row>
    <row r="142" spans="3:6" x14ac:dyDescent="0.35">
      <c r="C142" s="36">
        <f t="shared" si="3"/>
        <v>195</v>
      </c>
      <c r="D142" s="9">
        <v>8.85976320097734E-2</v>
      </c>
      <c r="E142" s="9">
        <v>8.130301379764597E-2</v>
      </c>
      <c r="F142" s="10">
        <f t="shared" si="4"/>
        <v>7.2946182121274294E-3</v>
      </c>
    </row>
    <row r="143" spans="3:6" x14ac:dyDescent="0.35">
      <c r="C143" s="36">
        <f t="shared" si="3"/>
        <v>197</v>
      </c>
      <c r="D143" s="9">
        <v>8.0144072095971824E-2</v>
      </c>
      <c r="E143" s="9">
        <v>7.2552000705649239E-2</v>
      </c>
      <c r="F143" s="10">
        <f t="shared" si="4"/>
        <v>7.5920713903225856E-3</v>
      </c>
    </row>
    <row r="144" spans="3:6" x14ac:dyDescent="0.35">
      <c r="C144" s="36">
        <f t="shared" si="3"/>
        <v>199</v>
      </c>
      <c r="D144" s="9">
        <v>7.1690512182170235E-2</v>
      </c>
      <c r="E144" s="9">
        <v>6.4736408734033454E-2</v>
      </c>
      <c r="F144" s="10">
        <f t="shared" si="4"/>
        <v>6.9541034481367808E-3</v>
      </c>
    </row>
    <row r="145" spans="3:6" x14ac:dyDescent="0.35">
      <c r="C145" s="36">
        <f t="shared" si="3"/>
        <v>201</v>
      </c>
      <c r="D145" s="9">
        <v>6.3236952268368632E-2</v>
      </c>
      <c r="E145" s="9">
        <v>5.7757601122394815E-2</v>
      </c>
      <c r="F145" s="10">
        <f t="shared" si="4"/>
        <v>5.4793511459738167E-3</v>
      </c>
    </row>
    <row r="146" spans="3:6" x14ac:dyDescent="0.35">
      <c r="C146" s="36">
        <f t="shared" si="3"/>
        <v>203</v>
      </c>
      <c r="D146" s="9">
        <v>5.4783392354567029E-2</v>
      </c>
      <c r="E146" s="9">
        <v>5.1527101531631793E-2</v>
      </c>
      <c r="F146" s="10">
        <f t="shared" si="4"/>
        <v>3.2562908229352358E-3</v>
      </c>
    </row>
    <row r="147" spans="3:6" x14ac:dyDescent="0.35">
      <c r="C147" s="36">
        <f t="shared" si="3"/>
        <v>205</v>
      </c>
      <c r="D147" s="9">
        <v>4.6329832440765439E-2</v>
      </c>
      <c r="E147" s="9">
        <v>4.5965587306003267E-2</v>
      </c>
      <c r="F147" s="10">
        <f t="shared" ref="F147:F155" si="5">$D147-$E147</f>
        <v>3.642451347621728E-4</v>
      </c>
    </row>
    <row r="148" spans="3:6" x14ac:dyDescent="0.35">
      <c r="C148" s="36">
        <f t="shared" si="3"/>
        <v>207</v>
      </c>
      <c r="D148" s="9">
        <v>3.7876272526963829E-2</v>
      </c>
      <c r="E148" s="9">
        <v>4.1001976078178751E-2</v>
      </c>
      <c r="F148" s="10">
        <f t="shared" si="5"/>
        <v>-3.1257035512149214E-3</v>
      </c>
    </row>
    <row r="149" spans="3:6" x14ac:dyDescent="0.35">
      <c r="C149" s="36">
        <f t="shared" si="3"/>
        <v>209</v>
      </c>
      <c r="D149" s="9">
        <v>2.942271261316225E-2</v>
      </c>
      <c r="E149" s="9">
        <v>3.6572598087539071E-2</v>
      </c>
      <c r="F149" s="10">
        <f t="shared" si="5"/>
        <v>-7.1498854743768207E-3</v>
      </c>
    </row>
    <row r="150" spans="3:6" x14ac:dyDescent="0.35">
      <c r="C150" s="36">
        <f t="shared" si="3"/>
        <v>211</v>
      </c>
      <c r="D150" s="9">
        <v>2.571797877448186E-2</v>
      </c>
      <c r="E150" s="9">
        <v>3.2620447037537921E-2</v>
      </c>
      <c r="F150" s="10">
        <f t="shared" si="5"/>
        <v>-6.9024682630560615E-3</v>
      </c>
    </row>
    <row r="151" spans="3:6" x14ac:dyDescent="0.35">
      <c r="C151" s="36">
        <f t="shared" si="3"/>
        <v>213</v>
      </c>
      <c r="D151" s="9">
        <v>2.4302967448755017E-2</v>
      </c>
      <c r="E151" s="9">
        <v>2.9094502776297437E-2</v>
      </c>
      <c r="F151" s="10">
        <f t="shared" si="5"/>
        <v>-4.7915353275424198E-3</v>
      </c>
    </row>
    <row r="152" spans="3:6" x14ac:dyDescent="0.35">
      <c r="C152" s="36">
        <f t="shared" si="3"/>
        <v>215</v>
      </c>
      <c r="D152" s="9">
        <v>2.2887956123028172E-2</v>
      </c>
      <c r="E152" s="9">
        <v>2.5949119538821067E-2</v>
      </c>
      <c r="F152" s="10">
        <f t="shared" si="5"/>
        <v>-3.0611634157928953E-3</v>
      </c>
    </row>
    <row r="153" spans="3:6" x14ac:dyDescent="0.35">
      <c r="C153" s="36">
        <f t="shared" si="3"/>
        <v>217</v>
      </c>
      <c r="D153" s="9">
        <v>2.1472944797301326E-2</v>
      </c>
      <c r="E153" s="9">
        <v>2.3143473933521282E-2</v>
      </c>
      <c r="F153" s="10">
        <f t="shared" si="5"/>
        <v>-1.6705291362199559E-3</v>
      </c>
    </row>
    <row r="154" spans="3:6" x14ac:dyDescent="0.35">
      <c r="C154" s="36">
        <f t="shared" si="3"/>
        <v>219</v>
      </c>
      <c r="D154" s="9">
        <v>2.0057933471574481E-2</v>
      </c>
      <c r="E154" s="9">
        <v>2.0641067286087125E-2</v>
      </c>
      <c r="F154" s="10">
        <f t="shared" si="5"/>
        <v>-5.831338145126444E-4</v>
      </c>
    </row>
    <row r="155" spans="3:6" ht="15" thickBot="1" x14ac:dyDescent="0.4">
      <c r="C155" s="37">
        <f t="shared" si="3"/>
        <v>221</v>
      </c>
      <c r="D155" s="11">
        <v>1.8642922145847639E-2</v>
      </c>
      <c r="E155" s="11">
        <v>1.840927736682374E-2</v>
      </c>
      <c r="F155" s="12">
        <f t="shared" si="5"/>
        <v>2.3364477902389907E-4</v>
      </c>
    </row>
  </sheetData>
  <mergeCells count="4">
    <mergeCell ref="H50:I56"/>
    <mergeCell ref="I18:J24"/>
    <mergeCell ref="C9:D9"/>
    <mergeCell ref="F9:G14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A2E93-FA99-436C-B069-F37777563E55}">
  <sheetPr codeName="Feuil2"/>
  <dimension ref="B6:L26"/>
  <sheetViews>
    <sheetView zoomScale="53" workbookViewId="0">
      <selection activeCell="C456" sqref="C456"/>
    </sheetView>
  </sheetViews>
  <sheetFormatPr defaultColWidth="10.6328125" defaultRowHeight="14.5" x14ac:dyDescent="0.35"/>
  <cols>
    <col min="1" max="16384" width="10.6328125" style="50"/>
  </cols>
  <sheetData>
    <row r="6" spans="2:12" x14ac:dyDescent="0.35">
      <c r="L6" s="50">
        <v>1.8896216290941084</v>
      </c>
    </row>
    <row r="7" spans="2:12" x14ac:dyDescent="0.35">
      <c r="K7" s="50">
        <v>1.7045658201995564</v>
      </c>
      <c r="L7" s="50">
        <v>1.7046596128170677</v>
      </c>
    </row>
    <row r="8" spans="2:12" x14ac:dyDescent="0.35">
      <c r="J8" s="50">
        <v>1.5198660974564151</v>
      </c>
      <c r="K8" s="50">
        <v>1.5199497270926328</v>
      </c>
      <c r="L8" s="50">
        <v>1.5200333613305759</v>
      </c>
    </row>
    <row r="9" spans="2:12" x14ac:dyDescent="0.35">
      <c r="I9" s="50">
        <v>1.3355217943488644</v>
      </c>
      <c r="J9" s="50">
        <v>1.3355952805606088</v>
      </c>
      <c r="K9" s="50">
        <v>1.3356687708158732</v>
      </c>
      <c r="L9" s="50">
        <v>1.3357422651149164</v>
      </c>
    </row>
    <row r="10" spans="2:12" x14ac:dyDescent="0.35">
      <c r="H10" s="50">
        <v>1.1515322456077954</v>
      </c>
      <c r="I10" s="50">
        <v>1.151595607915165</v>
      </c>
      <c r="J10" s="50">
        <v>1.1516589737090042</v>
      </c>
      <c r="K10" s="50">
        <v>1.1517223429894905</v>
      </c>
      <c r="L10" s="50">
        <v>1.1517857157568585</v>
      </c>
    </row>
    <row r="11" spans="2:12" x14ac:dyDescent="0.35">
      <c r="G11" s="50">
        <v>0.96789678720828543</v>
      </c>
      <c r="H11" s="50">
        <v>0.96795004509486393</v>
      </c>
      <c r="I11" s="50">
        <v>0.96800330591194217</v>
      </c>
      <c r="J11" s="50">
        <v>0.96805656965964815</v>
      </c>
      <c r="K11" s="50">
        <v>0.96810983633813896</v>
      </c>
      <c r="L11" s="50">
        <v>0.96816310594762456</v>
      </c>
    </row>
    <row r="12" spans="2:12" x14ac:dyDescent="0.35">
      <c r="F12" s="50">
        <v>0.78468678455558438</v>
      </c>
      <c r="G12" s="50">
        <v>0.7846742789425375</v>
      </c>
      <c r="H12" s="50">
        <v>0.7847011045687623</v>
      </c>
      <c r="I12" s="50">
        <v>0.78474428223293136</v>
      </c>
      <c r="J12" s="50">
        <v>0.7847874622729224</v>
      </c>
      <c r="K12" s="50">
        <v>0.78483064468887054</v>
      </c>
      <c r="L12" s="50">
        <v>0.78487382948090101</v>
      </c>
    </row>
    <row r="13" spans="2:12" x14ac:dyDescent="0.35">
      <c r="E13" s="50">
        <v>0.60320837062358101</v>
      </c>
      <c r="F13" s="50">
        <v>0.60255787227948177</v>
      </c>
      <c r="G13" s="50">
        <v>0.60211816930772499</v>
      </c>
      <c r="H13" s="50">
        <v>0.60188283335662673</v>
      </c>
      <c r="I13" s="50">
        <v>0.60181793187215404</v>
      </c>
      <c r="J13" s="50">
        <v>0.601851046509565</v>
      </c>
      <c r="K13" s="50">
        <v>0.60188416296908687</v>
      </c>
      <c r="L13" s="50">
        <v>0.60191728125082022</v>
      </c>
    </row>
    <row r="14" spans="2:12" x14ac:dyDescent="0.35">
      <c r="D14" s="50">
        <v>0.42995220327856365</v>
      </c>
      <c r="E14" s="50">
        <v>0.42729282178282452</v>
      </c>
      <c r="F14" s="50">
        <v>0.42485799427907978</v>
      </c>
      <c r="G14" s="50">
        <v>0.42272803097852796</v>
      </c>
      <c r="H14" s="50">
        <v>0.42100577550837315</v>
      </c>
      <c r="I14" s="50">
        <v>0.41981123510790586</v>
      </c>
      <c r="J14" s="50">
        <v>0.41924671842863159</v>
      </c>
      <c r="K14" s="50">
        <v>0.41926978720463642</v>
      </c>
      <c r="L14" s="50">
        <v>0.41929285724998522</v>
      </c>
    </row>
    <row r="15" spans="2:12" x14ac:dyDescent="0.35">
      <c r="C15" s="50">
        <v>0.2785446567908258</v>
      </c>
      <c r="D15" s="50">
        <v>0.27322697530058371</v>
      </c>
      <c r="E15" s="50">
        <v>0.26778023539637702</v>
      </c>
      <c r="F15" s="50">
        <v>0.26221734000169772</v>
      </c>
      <c r="G15" s="50">
        <v>0.25657185716823633</v>
      </c>
      <c r="H15" s="50">
        <v>0.25092065289898041</v>
      </c>
      <c r="I15" s="50">
        <v>0.24543454051943756</v>
      </c>
      <c r="J15" s="50">
        <v>0.24049637318909736</v>
      </c>
      <c r="K15" s="50">
        <v>0.23698691451776019</v>
      </c>
      <c r="L15" s="50">
        <v>0.23699995456746592</v>
      </c>
    </row>
    <row r="16" spans="2:12" x14ac:dyDescent="0.35">
      <c r="B16" s="50">
        <v>0.16242455986865809</v>
      </c>
      <c r="C16" s="50">
        <v>0.15577417852320938</v>
      </c>
      <c r="D16" s="50">
        <v>0.14875525064289291</v>
      </c>
      <c r="E16" s="50">
        <v>0.14129810567367215</v>
      </c>
      <c r="F16" s="50">
        <v>0.13330732441426754</v>
      </c>
      <c r="G16" s="50">
        <v>0.12464594365339313</v>
      </c>
      <c r="H16" s="50">
        <v>0.11510535818789265</v>
      </c>
      <c r="I16" s="50">
        <v>0.10434394837832887</v>
      </c>
      <c r="J16" s="50">
        <v>9.1753575075517638E-2</v>
      </c>
      <c r="K16" s="50">
        <v>7.6151903866463241E-2</v>
      </c>
      <c r="L16" s="50">
        <v>5.5037971386795448E-2</v>
      </c>
    </row>
    <row r="17" spans="3:12" x14ac:dyDescent="0.35">
      <c r="C17" s="50">
        <v>7.3146202248499992E-2</v>
      </c>
      <c r="D17" s="50">
        <v>6.6636194191158432E-2</v>
      </c>
      <c r="E17" s="50">
        <v>5.9796893814888993E-2</v>
      </c>
      <c r="F17" s="50">
        <v>5.2579085057314408E-2</v>
      </c>
      <c r="G17" s="50">
        <v>4.4924589318105432E-2</v>
      </c>
      <c r="H17" s="50">
        <v>3.6769264862335289E-2</v>
      </c>
      <c r="I17" s="50">
        <v>2.8057282526111428E-2</v>
      </c>
      <c r="J17" s="50">
        <v>1.8788862316283551E-2</v>
      </c>
      <c r="K17" s="50">
        <v>9.1641599873820596E-3</v>
      </c>
      <c r="L17" s="50">
        <v>0</v>
      </c>
    </row>
    <row r="18" spans="3:12" x14ac:dyDescent="0.35">
      <c r="D18" s="50">
        <v>2.3714921326612418E-2</v>
      </c>
      <c r="E18" s="50">
        <v>1.9464156710030545E-2</v>
      </c>
      <c r="F18" s="50">
        <v>1.5284649668307084E-2</v>
      </c>
      <c r="G18" s="50">
        <v>1.1250573361625363E-2</v>
      </c>
      <c r="H18" s="50">
        <v>7.4777144095527779E-3</v>
      </c>
      <c r="I18" s="50">
        <v>4.1456640163771482E-3</v>
      </c>
      <c r="J18" s="50">
        <v>1.5258888754465722E-3</v>
      </c>
      <c r="K18" s="50">
        <v>0</v>
      </c>
      <c r="L18" s="50">
        <v>0</v>
      </c>
    </row>
    <row r="19" spans="3:12" x14ac:dyDescent="0.35">
      <c r="E19" s="50">
        <v>4.693889838417664E-3</v>
      </c>
      <c r="F19" s="50">
        <v>3.118609660397171E-3</v>
      </c>
      <c r="G19" s="50">
        <v>1.8252098201195039E-3</v>
      </c>
      <c r="H19" s="50">
        <v>8.5964906437899311E-4</v>
      </c>
      <c r="I19" s="50">
        <v>2.5406986169437205E-4</v>
      </c>
      <c r="J19" s="50">
        <v>0</v>
      </c>
      <c r="K19" s="50">
        <v>0</v>
      </c>
      <c r="L19" s="50">
        <v>0</v>
      </c>
    </row>
    <row r="20" spans="3:12" x14ac:dyDescent="0.35">
      <c r="F20" s="50">
        <v>4.1930271076927485E-4</v>
      </c>
      <c r="G20" s="50">
        <v>1.7133808305274119E-4</v>
      </c>
      <c r="H20" s="50">
        <v>4.2304191120382649E-5</v>
      </c>
      <c r="I20" s="50">
        <v>0</v>
      </c>
      <c r="J20" s="50">
        <v>0</v>
      </c>
      <c r="K20" s="50">
        <v>0</v>
      </c>
      <c r="L20" s="50">
        <v>0</v>
      </c>
    </row>
    <row r="21" spans="3:12" x14ac:dyDescent="0.35">
      <c r="G21" s="50">
        <v>7.0439074292717309E-6</v>
      </c>
      <c r="H21" s="50">
        <v>0</v>
      </c>
      <c r="I21" s="50">
        <v>0</v>
      </c>
      <c r="J21" s="50">
        <v>0</v>
      </c>
      <c r="K21" s="50">
        <v>0</v>
      </c>
      <c r="L21" s="50">
        <v>0</v>
      </c>
    </row>
    <row r="22" spans="3:12" x14ac:dyDescent="0.35">
      <c r="H22" s="50">
        <v>0</v>
      </c>
      <c r="I22" s="50">
        <v>0</v>
      </c>
      <c r="J22" s="50">
        <v>0</v>
      </c>
      <c r="K22" s="50">
        <v>0</v>
      </c>
      <c r="L22" s="50">
        <v>0</v>
      </c>
    </row>
    <row r="23" spans="3:12" x14ac:dyDescent="0.35">
      <c r="I23" s="50">
        <v>0</v>
      </c>
      <c r="J23" s="50">
        <v>0</v>
      </c>
      <c r="K23" s="50">
        <v>0</v>
      </c>
      <c r="L23" s="50">
        <v>0</v>
      </c>
    </row>
    <row r="24" spans="3:12" x14ac:dyDescent="0.35">
      <c r="J24" s="50">
        <v>0</v>
      </c>
      <c r="K24" s="50">
        <v>0</v>
      </c>
      <c r="L24" s="50">
        <v>0</v>
      </c>
    </row>
    <row r="25" spans="3:12" x14ac:dyDescent="0.35">
      <c r="K25" s="50">
        <v>0</v>
      </c>
      <c r="L25" s="50">
        <v>0</v>
      </c>
    </row>
    <row r="26" spans="3:12" x14ac:dyDescent="0.35">
      <c r="L26" s="50">
        <v>0</v>
      </c>
    </row>
  </sheetData>
  <conditionalFormatting sqref="A1:XFD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max"/>
        <color rgb="FFFF7128"/>
        <color rgb="FFFFEF9C"/>
      </colorScale>
    </cfRule>
    <cfRule type="colorScale" priority="3">
      <colorScale>
        <cfvo type="min"/>
        <cfvo type="max"/>
        <color theme="3" tint="0.499984740745262"/>
        <color rgb="FFFFEF9C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BF547A-3524-4D76-85A0-5C7636ADE2BE}">
  <sheetPr codeName="Feuil4"/>
  <dimension ref="B6:OF454"/>
  <sheetViews>
    <sheetView topLeftCell="NQ1" zoomScale="86" zoomScaleNormal="85" workbookViewId="0">
      <selection activeCell="OC392" sqref="OC392:OH409"/>
    </sheetView>
  </sheetViews>
  <sheetFormatPr defaultColWidth="10.6328125" defaultRowHeight="14.5" x14ac:dyDescent="0.35"/>
  <cols>
    <col min="1" max="4" width="10.6328125" style="49"/>
    <col min="5" max="5" width="12.08984375" style="49" bestFit="1" customWidth="1"/>
    <col min="6" max="16384" width="10.6328125" style="49"/>
  </cols>
  <sheetData>
    <row r="6" spans="2:12" x14ac:dyDescent="0.35">
      <c r="L6" s="49">
        <v>101.88962162909411</v>
      </c>
    </row>
    <row r="7" spans="2:12" x14ac:dyDescent="0.35">
      <c r="K7" s="49">
        <v>101.69906368846735</v>
      </c>
      <c r="L7" s="49">
        <v>101.70465961281707</v>
      </c>
    </row>
    <row r="8" spans="2:12" x14ac:dyDescent="0.35">
      <c r="J8" s="49">
        <v>101.50886213672652</v>
      </c>
      <c r="K8" s="49">
        <v>101.51444759536042</v>
      </c>
      <c r="L8" s="49">
        <v>101.52003336133058</v>
      </c>
    </row>
    <row r="9" spans="2:12" x14ac:dyDescent="0.35">
      <c r="I9" s="49">
        <v>101.31901630733917</v>
      </c>
      <c r="J9" s="49">
        <v>101.32459131983072</v>
      </c>
      <c r="K9" s="49">
        <v>101.33016663908366</v>
      </c>
      <c r="L9" s="49">
        <v>101.33574226511492</v>
      </c>
    </row>
    <row r="10" spans="2:12" x14ac:dyDescent="0.35">
      <c r="H10" s="49">
        <v>101.12952553501952</v>
      </c>
      <c r="I10" s="49">
        <v>101.13509012090547</v>
      </c>
      <c r="J10" s="49">
        <v>101.14065501297911</v>
      </c>
      <c r="K10" s="49">
        <v>101.14622021125727</v>
      </c>
      <c r="L10" s="49">
        <v>101.15178571575686</v>
      </c>
    </row>
    <row r="11" spans="2:12" x14ac:dyDescent="0.35">
      <c r="G11" s="49">
        <v>100.94038915572602</v>
      </c>
      <c r="H11" s="49">
        <v>100.94594333450661</v>
      </c>
      <c r="I11" s="49">
        <v>100.95149781890225</v>
      </c>
      <c r="J11" s="49">
        <v>100.95705260892976</v>
      </c>
      <c r="K11" s="49">
        <v>100.96260770460593</v>
      </c>
      <c r="L11" s="49">
        <v>100.96816310594762</v>
      </c>
    </row>
    <row r="12" spans="2:12" x14ac:dyDescent="0.35">
      <c r="F12" s="49">
        <v>100.75160650665899</v>
      </c>
      <c r="G12" s="49">
        <v>100.75715029779802</v>
      </c>
      <c r="H12" s="49">
        <v>100.7626943939805</v>
      </c>
      <c r="I12" s="49">
        <v>100.76823879522324</v>
      </c>
      <c r="J12" s="49">
        <v>100.77378350154304</v>
      </c>
      <c r="K12" s="49">
        <v>100.77932851295665</v>
      </c>
      <c r="L12" s="49">
        <v>100.7848738294809</v>
      </c>
    </row>
    <row r="13" spans="2:12" x14ac:dyDescent="0.35">
      <c r="E13" s="49">
        <v>100.56317692625841</v>
      </c>
      <c r="F13" s="49">
        <v>100.56871034918321</v>
      </c>
      <c r="G13" s="49">
        <v>100.574244076581</v>
      </c>
      <c r="H13" s="49">
        <v>100.57977810846849</v>
      </c>
      <c r="I13" s="49">
        <v>100.58531244486247</v>
      </c>
      <c r="J13" s="49">
        <v>100.59084708577967</v>
      </c>
      <c r="K13" s="49">
        <v>100.59638203123687</v>
      </c>
      <c r="L13" s="49">
        <v>100.60191728125082</v>
      </c>
    </row>
    <row r="14" spans="2:12" x14ac:dyDescent="0.35">
      <c r="D14" s="49">
        <v>100.37509975420147</v>
      </c>
      <c r="E14" s="49">
        <v>100.38062282830312</v>
      </c>
      <c r="F14" s="49">
        <v>100.38614620630828</v>
      </c>
      <c r="G14" s="49">
        <v>100.39166988823371</v>
      </c>
      <c r="H14" s="49">
        <v>100.3971938740961</v>
      </c>
      <c r="I14" s="49">
        <v>100.40271816391221</v>
      </c>
      <c r="J14" s="49">
        <v>100.40824275769874</v>
      </c>
      <c r="K14" s="49">
        <v>100.41376765547243</v>
      </c>
      <c r="L14" s="49">
        <v>100.41929285724999</v>
      </c>
    </row>
    <row r="15" spans="2:12" x14ac:dyDescent="0.35">
      <c r="C15" s="49">
        <v>100.18737433140041</v>
      </c>
      <c r="D15" s="49">
        <v>100.19288707603363</v>
      </c>
      <c r="E15" s="49">
        <v>100.19840012400203</v>
      </c>
      <c r="F15" s="49">
        <v>100.20391347532228</v>
      </c>
      <c r="G15" s="49">
        <v>100.20942713001108</v>
      </c>
      <c r="H15" s="49">
        <v>100.2149410880851</v>
      </c>
      <c r="I15" s="49">
        <v>100.22045534956106</v>
      </c>
      <c r="J15" s="49">
        <v>100.22596991445565</v>
      </c>
      <c r="K15" s="49">
        <v>100.23148478278554</v>
      </c>
      <c r="L15" s="49">
        <v>100.23699995456747</v>
      </c>
    </row>
    <row r="16" spans="2:12" x14ac:dyDescent="0.35">
      <c r="B16" s="49">
        <v>100</v>
      </c>
      <c r="C16" s="49">
        <v>100.0055024344834</v>
      </c>
      <c r="D16" s="49">
        <v>100.01100517173467</v>
      </c>
      <c r="E16" s="49">
        <v>100.01650821177044</v>
      </c>
      <c r="F16" s="49">
        <v>100.02201155460739</v>
      </c>
      <c r="G16" s="49">
        <v>100.02751520026217</v>
      </c>
      <c r="H16" s="49">
        <v>100.03301914875145</v>
      </c>
      <c r="I16" s="49">
        <v>100.03852340009189</v>
      </c>
      <c r="J16" s="49">
        <v>100.04402795430015</v>
      </c>
      <c r="K16" s="49">
        <v>100.04953281139289</v>
      </c>
      <c r="L16" s="49">
        <v>100.0550379713868</v>
      </c>
    </row>
    <row r="17" spans="3:12" x14ac:dyDescent="0.35">
      <c r="C17" s="49">
        <v>99.823960692809109</v>
      </c>
      <c r="D17" s="49">
        <v>99.829453440844972</v>
      </c>
      <c r="E17" s="49">
        <v>99.834946491115716</v>
      </c>
      <c r="F17" s="49">
        <v>99.840439843637924</v>
      </c>
      <c r="G17" s="49">
        <v>99.84593349842828</v>
      </c>
      <c r="H17" s="49">
        <v>99.851427455503369</v>
      </c>
      <c r="I17" s="49">
        <v>99.856921714879874</v>
      </c>
      <c r="J17" s="49">
        <v>99.862416276574379</v>
      </c>
      <c r="K17" s="49">
        <v>99.867911140603539</v>
      </c>
      <c r="L17" s="49">
        <v>99.873406306983995</v>
      </c>
    </row>
    <row r="18" spans="3:12" x14ac:dyDescent="0.35">
      <c r="D18" s="49">
        <v>99.648231283994988</v>
      </c>
      <c r="E18" s="49">
        <v>99.653714362635284</v>
      </c>
      <c r="F18" s="49">
        <v>99.65919774297835</v>
      </c>
      <c r="G18" s="49">
        <v>99.664681425040868</v>
      </c>
      <c r="H18" s="49">
        <v>99.670165408839367</v>
      </c>
      <c r="I18" s="49">
        <v>99.675649694390515</v>
      </c>
      <c r="J18" s="49">
        <v>99.681134281710854</v>
      </c>
      <c r="K18" s="49">
        <v>99.686619170817011</v>
      </c>
      <c r="L18" s="49">
        <v>99.692104361725612</v>
      </c>
    </row>
    <row r="19" spans="3:12" x14ac:dyDescent="0.35">
      <c r="E19" s="49">
        <v>99.472811228014692</v>
      </c>
      <c r="F19" s="49">
        <v>99.478284654281296</v>
      </c>
      <c r="G19" s="49">
        <v>99.483758381719639</v>
      </c>
      <c r="H19" s="49">
        <v>99.489232410346219</v>
      </c>
      <c r="I19" s="49">
        <v>99.494706740177662</v>
      </c>
      <c r="J19" s="49">
        <v>99.500181371230497</v>
      </c>
      <c r="K19" s="49">
        <v>99.505656303521306</v>
      </c>
      <c r="L19" s="49">
        <v>99.511131537066689</v>
      </c>
    </row>
    <row r="20" spans="3:12" x14ac:dyDescent="0.35">
      <c r="F20" s="49">
        <v>99.297699980285572</v>
      </c>
      <c r="G20" s="49">
        <v>99.303163771170546</v>
      </c>
      <c r="H20" s="49">
        <v>99.308627862696994</v>
      </c>
      <c r="I20" s="49">
        <v>99.31409225488153</v>
      </c>
      <c r="J20" s="49">
        <v>99.319556947740651</v>
      </c>
      <c r="K20" s="49">
        <v>99.325021941290899</v>
      </c>
      <c r="L20" s="49">
        <v>99.330487235548844</v>
      </c>
    </row>
    <row r="21" spans="3:12" x14ac:dyDescent="0.35">
      <c r="G21" s="49">
        <v>99.122896997183815</v>
      </c>
      <c r="H21" s="49">
        <v>99.128351169649136</v>
      </c>
      <c r="I21" s="49">
        <v>99.133805642226747</v>
      </c>
      <c r="J21" s="49">
        <v>99.139260414933119</v>
      </c>
      <c r="K21" s="49">
        <v>99.144715487784779</v>
      </c>
      <c r="L21" s="49">
        <v>99.150170860798255</v>
      </c>
    </row>
    <row r="22" spans="3:12" x14ac:dyDescent="0.35">
      <c r="H22" s="49">
        <v>98.948401736042428</v>
      </c>
      <c r="I22" s="49">
        <v>98.953846307020356</v>
      </c>
      <c r="J22" s="49">
        <v>98.959291177582216</v>
      </c>
      <c r="K22" s="49">
        <v>98.964736347744491</v>
      </c>
      <c r="L22" s="49">
        <v>98.970181817523709</v>
      </c>
    </row>
    <row r="23" spans="3:12" x14ac:dyDescent="0.35">
      <c r="I23" s="49">
        <v>98.774213655149865</v>
      </c>
      <c r="J23" s="49">
        <v>98.779648641542749</v>
      </c>
      <c r="K23" s="49">
        <v>98.785083926992172</v>
      </c>
      <c r="L23" s="49">
        <v>98.790519511514646</v>
      </c>
    </row>
    <row r="24" spans="3:12" x14ac:dyDescent="0.35">
      <c r="J24" s="49">
        <v>98.600332213748104</v>
      </c>
      <c r="K24" s="49">
        <v>98.605757632428563</v>
      </c>
      <c r="L24" s="49">
        <v>98.611183349639177</v>
      </c>
    </row>
    <row r="25" spans="3:12" x14ac:dyDescent="0.35">
      <c r="K25" s="49">
        <v>98.426756872031092</v>
      </c>
      <c r="L25" s="49">
        <v>98.43217273984213</v>
      </c>
    </row>
    <row r="26" spans="3:12" x14ac:dyDescent="0.35">
      <c r="L26" s="49">
        <v>98.253487091143128</v>
      </c>
    </row>
    <row r="394" spans="396:396" x14ac:dyDescent="0.35">
      <c r="OF394" s="52"/>
    </row>
    <row r="454" spans="337:338" x14ac:dyDescent="0.35">
      <c r="LY454" s="53"/>
      <c r="LZ454" s="53"/>
    </row>
  </sheetData>
  <conditionalFormatting sqref="A1:XFD468 A469 M469:XFD469 A470:XFD473 A474 M474:XFD474 A475:XFD1048576">
    <cfRule type="colorScale" priority="1">
      <colorScale>
        <cfvo type="min"/>
        <cfvo type="percentile" val="50"/>
        <cfvo type="max"/>
        <color theme="3" tint="0.89999084444715716"/>
        <color theme="3" tint="0.499984740745262"/>
        <color theme="3" tint="0.249977111117893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713D64-4DD1-4CD6-A6E2-2D0FE277A24B}">
  <sheetPr codeName="Feuil3"/>
  <dimension ref="B6:KC573"/>
  <sheetViews>
    <sheetView topLeftCell="NP705" zoomScale="64" workbookViewId="0">
      <selection activeCell="OF740" sqref="OF740"/>
    </sheetView>
  </sheetViews>
  <sheetFormatPr defaultColWidth="10.6328125" defaultRowHeight="14.5" x14ac:dyDescent="0.35"/>
  <cols>
    <col min="1" max="16384" width="10.6328125" style="50"/>
  </cols>
  <sheetData>
    <row r="6" spans="2:12" x14ac:dyDescent="0.35">
      <c r="L6" s="50">
        <v>1.638858297907972E-8</v>
      </c>
    </row>
    <row r="7" spans="2:12" x14ac:dyDescent="0.35">
      <c r="K7" s="50">
        <v>9.8420884584736947E-8</v>
      </c>
      <c r="L7" s="50">
        <v>6.5613914033872853E-7</v>
      </c>
    </row>
    <row r="8" spans="2:12" x14ac:dyDescent="0.35">
      <c r="J8" s="50">
        <v>5.9106211513593137E-7</v>
      </c>
      <c r="K8" s="50">
        <v>3.5463722028323778E-6</v>
      </c>
      <c r="L8" s="50">
        <v>1.1985422924881119E-5</v>
      </c>
    </row>
    <row r="9" spans="2:12" x14ac:dyDescent="0.35">
      <c r="I9" s="50">
        <v>3.5495964637557773E-6</v>
      </c>
      <c r="J9" s="50">
        <v>1.8931178535664767E-5</v>
      </c>
      <c r="K9" s="50">
        <v>5.7680926672653756E-5</v>
      </c>
      <c r="L9" s="50">
        <v>1.3212381385907106E-4</v>
      </c>
    </row>
    <row r="10" spans="2:12" x14ac:dyDescent="0.35">
      <c r="H10" s="50">
        <v>2.131693900540679E-5</v>
      </c>
      <c r="I10" s="50">
        <v>9.9479035028938667E-5</v>
      </c>
      <c r="J10" s="50">
        <v>2.7001448652873153E-4</v>
      </c>
      <c r="K10" s="50">
        <v>5.5897728107702006E-4</v>
      </c>
      <c r="L10" s="50">
        <v>9.7973979421563107E-4</v>
      </c>
    </row>
    <row r="11" spans="2:12" x14ac:dyDescent="0.35">
      <c r="G11" s="50">
        <v>1.2801790099256288E-4</v>
      </c>
      <c r="H11" s="50">
        <v>5.1207153353499267E-4</v>
      </c>
      <c r="I11" s="50">
        <v>1.2197257768437315E-3</v>
      </c>
      <c r="J11" s="50">
        <v>2.2569072492380836E-3</v>
      </c>
      <c r="K11" s="50">
        <v>3.5880553063566585E-3</v>
      </c>
      <c r="L11" s="50">
        <v>5.157063255472747E-3</v>
      </c>
    </row>
    <row r="12" spans="2:12" x14ac:dyDescent="0.35">
      <c r="F12" s="50">
        <v>7.6880564183826863E-4</v>
      </c>
      <c r="G12" s="50">
        <v>2.5626851200656348E-3</v>
      </c>
      <c r="H12" s="50">
        <v>5.2535037740163602E-3</v>
      </c>
      <c r="I12" s="50">
        <v>8.5707556557519E-3</v>
      </c>
      <c r="J12" s="50">
        <v>1.2241562110790378E-2</v>
      </c>
      <c r="K12" s="50">
        <v>1.6045247455095394E-2</v>
      </c>
      <c r="L12" s="50">
        <v>1.98232258222539E-2</v>
      </c>
    </row>
    <row r="13" spans="2:12" x14ac:dyDescent="0.35">
      <c r="E13" s="50">
        <v>4.6170270738290029E-3</v>
      </c>
      <c r="F13" s="50">
        <v>1.231207050254266E-2</v>
      </c>
      <c r="G13" s="50">
        <v>2.1161368269460776E-2</v>
      </c>
      <c r="H13" s="50">
        <v>2.9925163133930916E-2</v>
      </c>
      <c r="I13" s="50">
        <v>3.7980014319259549E-2</v>
      </c>
      <c r="J13" s="50">
        <v>4.50872333902156E-2</v>
      </c>
      <c r="K13" s="50">
        <v>5.1213570555733313E-2</v>
      </c>
      <c r="L13" s="50">
        <v>5.6422359875011194E-2</v>
      </c>
    </row>
    <row r="14" spans="2:12" x14ac:dyDescent="0.35">
      <c r="D14" s="50">
        <v>2.7727344653317745E-2</v>
      </c>
      <c r="E14" s="50">
        <v>5.5454681687113816E-2</v>
      </c>
      <c r="F14" s="50">
        <v>7.7020380641608793E-2</v>
      </c>
      <c r="G14" s="50">
        <v>9.2424444064585609E-2</v>
      </c>
      <c r="H14" s="50">
        <v>0.10301473077286147</v>
      </c>
      <c r="I14" s="50">
        <v>0.11012483585006526</v>
      </c>
      <c r="J14" s="50">
        <v>0.11478407573130077</v>
      </c>
      <c r="K14" s="50">
        <v>0.1177269971519571</v>
      </c>
      <c r="L14" s="50">
        <v>0.11946419719225938</v>
      </c>
    </row>
    <row r="15" spans="2:12" x14ac:dyDescent="0.35">
      <c r="C15" s="50">
        <v>0.16651529856353198</v>
      </c>
      <c r="D15" s="50">
        <v>0.22202036756362603</v>
      </c>
      <c r="E15" s="50">
        <v>0.23589660808935214</v>
      </c>
      <c r="F15" s="50">
        <v>0.23435476797736643</v>
      </c>
      <c r="G15" s="50">
        <v>0.22741660209199274</v>
      </c>
      <c r="H15" s="50">
        <v>0.21893663089144028</v>
      </c>
      <c r="I15" s="50">
        <v>0.21038171306242551</v>
      </c>
      <c r="J15" s="50">
        <v>0.20228124990517418</v>
      </c>
      <c r="K15" s="50">
        <v>0.19479406160093291</v>
      </c>
      <c r="L15" s="50">
        <v>0.18793409340405104</v>
      </c>
    </row>
    <row r="16" spans="2:12" x14ac:dyDescent="0.35">
      <c r="B16" s="50">
        <v>1</v>
      </c>
      <c r="C16" s="50">
        <v>0.66666657500368665</v>
      </c>
      <c r="D16" s="50">
        <v>0.49999986247981076</v>
      </c>
      <c r="E16" s="50">
        <v>0.40740723932286543</v>
      </c>
      <c r="F16" s="50">
        <v>0.35030844923792381</v>
      </c>
      <c r="G16" s="50">
        <v>0.31172818070458413</v>
      </c>
      <c r="H16" s="50">
        <v>0.28369318153023049</v>
      </c>
      <c r="I16" s="50">
        <v>0.2621739588208718</v>
      </c>
      <c r="J16" s="50">
        <v>0.24497358159573668</v>
      </c>
      <c r="K16" s="50">
        <v>0.23080405686041455</v>
      </c>
      <c r="L16" s="50">
        <v>0.21885971088400874</v>
      </c>
    </row>
    <row r="17" spans="3:12" x14ac:dyDescent="0.35">
      <c r="C17" s="50">
        <v>0.16681812643278138</v>
      </c>
      <c r="D17" s="50">
        <v>0.22242413799774863</v>
      </c>
      <c r="E17" s="50">
        <v>0.23632561411110534</v>
      </c>
      <c r="F17" s="50">
        <v>0.23478096996840617</v>
      </c>
      <c r="G17" s="50">
        <v>0.22783018621314446</v>
      </c>
      <c r="H17" s="50">
        <v>0.21933479317287477</v>
      </c>
      <c r="I17" s="50">
        <v>0.21076431722015354</v>
      </c>
      <c r="J17" s="50">
        <v>0.20264912241929345</v>
      </c>
      <c r="K17" s="50">
        <v>0.19514831775923194</v>
      </c>
      <c r="L17" s="50">
        <v>0.18827587389637751</v>
      </c>
    </row>
    <row r="18" spans="3:12" x14ac:dyDescent="0.35">
      <c r="D18" s="50">
        <v>2.7828287305496878E-2</v>
      </c>
      <c r="E18" s="50">
        <v>5.5656566965457926E-2</v>
      </c>
      <c r="F18" s="50">
        <v>7.7300776821138284E-2</v>
      </c>
      <c r="G18" s="50">
        <v>9.2760919427700886E-2</v>
      </c>
      <c r="H18" s="50">
        <v>0.1033897605565208</v>
      </c>
      <c r="I18" s="50">
        <v>0.11052575028605342</v>
      </c>
      <c r="J18" s="50">
        <v>0.1152019523416981</v>
      </c>
      <c r="K18" s="50">
        <v>0.1181555876059866</v>
      </c>
      <c r="L18" s="50">
        <v>0.11989911200364056</v>
      </c>
    </row>
    <row r="19" spans="3:12" x14ac:dyDescent="0.35">
      <c r="E19" s="50">
        <v>4.6422627502764498E-3</v>
      </c>
      <c r="F19" s="50">
        <v>1.2379365634773942E-2</v>
      </c>
      <c r="G19" s="50">
        <v>2.1277031758894071E-2</v>
      </c>
      <c r="H19" s="50">
        <v>3.008872763816723E-2</v>
      </c>
      <c r="I19" s="50">
        <v>3.8187604907510754E-2</v>
      </c>
      <c r="J19" s="50">
        <v>4.5333670502150397E-2</v>
      </c>
      <c r="K19" s="50">
        <v>5.1493492914272222E-2</v>
      </c>
      <c r="L19" s="50">
        <v>5.6730752352386671E-2</v>
      </c>
    </row>
    <row r="20" spans="3:12" x14ac:dyDescent="0.35">
      <c r="F20" s="50">
        <v>7.7441357440171635E-4</v>
      </c>
      <c r="G20" s="50">
        <v>2.5813782269864913E-3</v>
      </c>
      <c r="H20" s="50">
        <v>5.2918246386423297E-3</v>
      </c>
      <c r="I20" s="50">
        <v>8.63327369628023E-3</v>
      </c>
      <c r="J20" s="50">
        <v>1.2330856277080523E-2</v>
      </c>
      <c r="K20" s="50">
        <v>1.6162287005753555E-2</v>
      </c>
      <c r="L20" s="50">
        <v>1.9967823248244514E-2</v>
      </c>
    </row>
    <row r="21" spans="3:12" x14ac:dyDescent="0.35">
      <c r="G21" s="50">
        <v>1.2918622159269194E-4</v>
      </c>
      <c r="H21" s="50">
        <v>5.1674481532575003E-4</v>
      </c>
      <c r="I21" s="50">
        <v>1.2308572730671708E-3</v>
      </c>
      <c r="J21" s="50">
        <v>2.2775043008639688E-3</v>
      </c>
      <c r="K21" s="50">
        <v>3.620800719938705E-3</v>
      </c>
      <c r="L21" s="50">
        <v>5.2041277929277098E-3</v>
      </c>
    </row>
    <row r="22" spans="3:12" x14ac:dyDescent="0.35">
      <c r="H22" s="50">
        <v>2.1550603449359881E-5</v>
      </c>
      <c r="I22" s="50">
        <v>1.0056946893310316E-4</v>
      </c>
      <c r="J22" s="50">
        <v>2.7297423531257557E-4</v>
      </c>
      <c r="K22" s="50">
        <v>5.6510447970246252E-4</v>
      </c>
      <c r="L22" s="50">
        <v>9.9047915790386387E-4</v>
      </c>
    </row>
    <row r="23" spans="3:12" x14ac:dyDescent="0.35">
      <c r="I23" s="50">
        <v>3.5950312915006295E-6</v>
      </c>
      <c r="J23" s="50">
        <v>1.9173497581397534E-5</v>
      </c>
      <c r="K23" s="50">
        <v>5.8419242411940345E-5</v>
      </c>
      <c r="L23" s="50">
        <v>1.3381499843197458E-4</v>
      </c>
    </row>
    <row r="24" spans="3:12" x14ac:dyDescent="0.35">
      <c r="J24" s="50">
        <v>5.9971638458116189E-7</v>
      </c>
      <c r="K24" s="50">
        <v>3.5982978121066152E-6</v>
      </c>
      <c r="L24" s="50">
        <v>1.2160912228251266E-5</v>
      </c>
    </row>
    <row r="25" spans="3:12" x14ac:dyDescent="0.35">
      <c r="K25" s="50">
        <v>1.0004356366770421E-7</v>
      </c>
      <c r="L25" s="50">
        <v>6.6695699934530304E-7</v>
      </c>
    </row>
    <row r="26" spans="3:12" x14ac:dyDescent="0.35">
      <c r="L26" s="50">
        <v>1.6689079853255202E-8</v>
      </c>
    </row>
    <row r="573" spans="2:289" x14ac:dyDescent="0.35">
      <c r="B573" s="49"/>
      <c r="C573" s="49"/>
      <c r="D573" s="49"/>
      <c r="E573" s="49"/>
      <c r="F573" s="49"/>
      <c r="G573" s="49"/>
      <c r="H573" s="49"/>
      <c r="I573" s="49"/>
      <c r="J573" s="49"/>
      <c r="K573" s="49"/>
      <c r="L573" s="49"/>
      <c r="M573" s="49"/>
      <c r="N573" s="49"/>
      <c r="O573" s="49"/>
      <c r="P573" s="49"/>
      <c r="Q573" s="49"/>
      <c r="R573" s="49"/>
      <c r="S573" s="49"/>
      <c r="T573" s="49"/>
      <c r="U573" s="49"/>
      <c r="V573" s="49"/>
      <c r="W573" s="49"/>
      <c r="X573" s="49"/>
      <c r="Y573" s="49"/>
      <c r="Z573" s="49"/>
      <c r="AA573" s="49"/>
      <c r="AB573" s="49"/>
      <c r="AC573" s="49"/>
      <c r="AD573" s="49"/>
      <c r="AE573" s="49"/>
      <c r="AF573" s="49"/>
      <c r="AG573" s="49"/>
      <c r="AH573" s="49"/>
      <c r="AI573" s="49"/>
      <c r="AJ573" s="49"/>
      <c r="AK573" s="49"/>
      <c r="AL573" s="49"/>
      <c r="AM573" s="49"/>
      <c r="AN573" s="49"/>
      <c r="AO573" s="49"/>
      <c r="AP573" s="49"/>
      <c r="AQ573" s="49"/>
      <c r="AR573" s="49"/>
      <c r="AS573" s="49"/>
      <c r="AT573" s="49"/>
      <c r="AU573" s="49"/>
      <c r="AV573" s="49"/>
      <c r="AW573" s="49"/>
      <c r="AX573" s="49"/>
      <c r="AY573" s="49"/>
      <c r="AZ573" s="49"/>
      <c r="BA573" s="49"/>
      <c r="BB573" s="49"/>
      <c r="BC573" s="49"/>
      <c r="BD573" s="49"/>
      <c r="BE573" s="49"/>
      <c r="BF573" s="49"/>
      <c r="BG573" s="49"/>
      <c r="BH573" s="49"/>
      <c r="BI573" s="49"/>
      <c r="BJ573" s="49"/>
      <c r="BK573" s="49"/>
      <c r="BL573" s="49"/>
      <c r="BM573" s="49"/>
      <c r="BN573" s="49"/>
      <c r="BO573" s="49"/>
      <c r="BP573" s="49"/>
      <c r="BQ573" s="49"/>
      <c r="BR573" s="49"/>
      <c r="BS573" s="49"/>
      <c r="BT573" s="49"/>
      <c r="BU573" s="49"/>
      <c r="BV573" s="49"/>
      <c r="BW573" s="49"/>
      <c r="BX573" s="49"/>
      <c r="BY573" s="49"/>
      <c r="BZ573" s="49"/>
      <c r="CA573" s="49"/>
      <c r="CB573" s="49"/>
      <c r="CC573" s="49"/>
      <c r="CD573" s="49"/>
      <c r="CE573" s="49"/>
      <c r="CF573" s="49"/>
      <c r="CG573" s="49"/>
      <c r="CH573" s="49"/>
      <c r="CI573" s="49"/>
      <c r="CJ573" s="49"/>
      <c r="CK573" s="49"/>
      <c r="CL573" s="49"/>
      <c r="CM573" s="49"/>
      <c r="CN573" s="49"/>
      <c r="CO573" s="49"/>
      <c r="CP573" s="49"/>
      <c r="CQ573" s="49"/>
      <c r="CR573" s="49"/>
      <c r="CS573" s="49"/>
      <c r="CT573" s="49"/>
      <c r="CU573" s="49"/>
      <c r="CV573" s="49"/>
      <c r="CW573" s="49"/>
      <c r="CX573" s="49"/>
      <c r="CY573" s="49"/>
      <c r="CZ573" s="49"/>
      <c r="DA573" s="49"/>
      <c r="DB573" s="49"/>
      <c r="DC573" s="49"/>
      <c r="DD573" s="49"/>
      <c r="DE573" s="49"/>
      <c r="DF573" s="49"/>
      <c r="DG573" s="49"/>
      <c r="DH573" s="49"/>
      <c r="DI573" s="49"/>
      <c r="DJ573" s="49"/>
      <c r="DK573" s="49"/>
      <c r="DL573" s="49"/>
      <c r="DM573" s="49"/>
      <c r="DN573" s="49"/>
      <c r="DO573" s="49"/>
      <c r="DP573" s="49"/>
      <c r="DQ573" s="49"/>
      <c r="DR573" s="49"/>
      <c r="DS573" s="49"/>
      <c r="DT573" s="49"/>
      <c r="DU573" s="49"/>
      <c r="DV573" s="49"/>
      <c r="DW573" s="49"/>
      <c r="DX573" s="49"/>
      <c r="DY573" s="49"/>
      <c r="DZ573" s="49"/>
      <c r="EA573" s="49"/>
      <c r="EB573" s="49"/>
      <c r="EC573" s="49"/>
      <c r="ED573" s="49"/>
      <c r="EE573" s="49"/>
      <c r="EF573" s="49"/>
      <c r="EG573" s="49"/>
      <c r="EH573" s="49"/>
      <c r="EI573" s="49"/>
      <c r="EJ573" s="49"/>
      <c r="EK573" s="49"/>
      <c r="EL573" s="49"/>
      <c r="EM573" s="49"/>
      <c r="EN573" s="49"/>
      <c r="EO573" s="49"/>
      <c r="EP573" s="49"/>
      <c r="EQ573" s="49"/>
      <c r="ER573" s="49"/>
      <c r="ES573" s="49"/>
      <c r="ET573" s="49"/>
      <c r="EU573" s="49"/>
      <c r="EV573" s="49"/>
      <c r="EW573" s="49"/>
      <c r="EX573" s="49"/>
      <c r="EY573" s="49"/>
      <c r="EZ573" s="49"/>
      <c r="FA573" s="49"/>
      <c r="FB573" s="49"/>
      <c r="FC573" s="49"/>
      <c r="FD573" s="49"/>
      <c r="FE573" s="49"/>
      <c r="FF573" s="49"/>
      <c r="FG573" s="49"/>
      <c r="FH573" s="49"/>
      <c r="FI573" s="49"/>
      <c r="FJ573" s="49"/>
      <c r="FK573" s="49"/>
      <c r="FL573" s="49"/>
      <c r="FM573" s="49"/>
      <c r="FN573" s="49"/>
      <c r="FO573" s="49"/>
      <c r="FP573" s="49"/>
      <c r="FQ573" s="49"/>
      <c r="FR573" s="49"/>
      <c r="FS573" s="49"/>
      <c r="FT573" s="49"/>
      <c r="FU573" s="49"/>
      <c r="FV573" s="49"/>
      <c r="FW573" s="49"/>
      <c r="FX573" s="49"/>
      <c r="FY573" s="49"/>
      <c r="FZ573" s="49"/>
      <c r="GA573" s="49"/>
      <c r="GB573" s="49"/>
      <c r="GC573" s="49"/>
      <c r="GD573" s="49"/>
      <c r="GE573" s="49"/>
      <c r="GF573" s="49"/>
      <c r="GG573" s="49"/>
      <c r="GH573" s="49"/>
      <c r="GI573" s="49"/>
      <c r="GJ573" s="49"/>
      <c r="GK573" s="49"/>
      <c r="GL573" s="49"/>
      <c r="GM573" s="49"/>
      <c r="GN573" s="49"/>
      <c r="GO573" s="49"/>
      <c r="GP573" s="49"/>
      <c r="GQ573" s="49"/>
      <c r="GR573" s="49"/>
      <c r="GS573" s="49"/>
      <c r="GT573" s="49"/>
      <c r="GU573" s="49"/>
      <c r="GV573" s="49"/>
      <c r="GW573" s="49"/>
      <c r="GX573" s="49"/>
      <c r="GY573" s="49"/>
      <c r="GZ573" s="49"/>
      <c r="HA573" s="49"/>
      <c r="HB573" s="49"/>
      <c r="HC573" s="49"/>
      <c r="HD573" s="49"/>
      <c r="HE573" s="49"/>
      <c r="HF573" s="49"/>
      <c r="HG573" s="49"/>
      <c r="HH573" s="49"/>
      <c r="HI573" s="49"/>
      <c r="HJ573" s="49"/>
      <c r="HK573" s="49"/>
      <c r="HL573" s="49"/>
      <c r="HM573" s="49"/>
      <c r="HN573" s="49"/>
      <c r="HO573" s="49"/>
      <c r="HP573" s="49"/>
      <c r="HQ573" s="49"/>
      <c r="HR573" s="49"/>
      <c r="HS573" s="49"/>
      <c r="HT573" s="49"/>
      <c r="HU573" s="49"/>
      <c r="HV573" s="49"/>
      <c r="HW573" s="49"/>
      <c r="HX573" s="49"/>
      <c r="HY573" s="49"/>
      <c r="HZ573" s="49"/>
      <c r="IA573" s="49"/>
      <c r="IB573" s="49"/>
      <c r="IC573" s="49"/>
      <c r="ID573" s="49"/>
      <c r="IE573" s="49"/>
      <c r="IF573" s="49"/>
      <c r="IG573" s="49"/>
      <c r="IH573" s="49"/>
      <c r="II573" s="49"/>
      <c r="IJ573" s="49"/>
      <c r="IK573" s="49"/>
      <c r="IL573" s="49"/>
      <c r="IM573" s="49"/>
      <c r="IN573" s="49"/>
      <c r="IO573" s="49"/>
      <c r="IP573" s="49"/>
      <c r="IQ573" s="49"/>
      <c r="IR573" s="49"/>
      <c r="IS573" s="49"/>
      <c r="IT573" s="49"/>
      <c r="IU573" s="49"/>
      <c r="IV573" s="49"/>
      <c r="IW573" s="49"/>
      <c r="IX573" s="49"/>
      <c r="IY573" s="49"/>
      <c r="IZ573" s="49"/>
      <c r="JA573" s="49"/>
      <c r="JB573" s="49"/>
      <c r="JC573" s="49"/>
      <c r="JD573" s="49"/>
      <c r="JE573" s="49"/>
      <c r="JF573" s="49"/>
      <c r="JG573" s="49"/>
      <c r="JH573" s="49"/>
      <c r="JI573" s="49"/>
      <c r="JJ573" s="49"/>
      <c r="JK573" s="49"/>
      <c r="JL573" s="49"/>
      <c r="JM573" s="49"/>
      <c r="JN573" s="49"/>
      <c r="JO573" s="49"/>
      <c r="JP573" s="49"/>
      <c r="JQ573" s="49"/>
      <c r="JR573" s="49"/>
      <c r="JS573" s="49"/>
      <c r="JT573" s="49"/>
      <c r="JU573" s="49"/>
      <c r="JV573" s="49"/>
      <c r="JW573" s="49"/>
      <c r="JX573" s="49"/>
      <c r="JY573" s="49"/>
      <c r="JZ573" s="49"/>
      <c r="KA573" s="49"/>
      <c r="KB573" s="49"/>
      <c r="KC573" s="49"/>
    </row>
  </sheetData>
  <conditionalFormatting sqref="KD573:XFD573 A573 A1:XFD509 A511:XFD572 A510 GU510:XFD510 A574:XFD1048576">
    <cfRule type="colorScale" priority="2">
      <colorScale>
        <cfvo type="min"/>
        <cfvo type="percentile" val="50"/>
        <cfvo type="max"/>
        <color theme="3" tint="0.89999084444715716"/>
        <color theme="3" tint="0.499984740745262"/>
        <color theme="3" tint="0.249977111117893"/>
      </colorScale>
    </cfRule>
  </conditionalFormatting>
  <conditionalFormatting sqref="B573:KC573">
    <cfRule type="colorScale" priority="1">
      <colorScale>
        <cfvo type="min"/>
        <cfvo type="percentile" val="50"/>
        <cfvo type="max"/>
        <color theme="3" tint="0.89999084444715716"/>
        <color theme="3" tint="0.499984740745262"/>
        <color theme="3" tint="0.249977111117893"/>
      </colorScale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0F39450E65FC74A9E6DE9EE55B1C397" ma:contentTypeVersion="8" ma:contentTypeDescription="Crée un document." ma:contentTypeScope="" ma:versionID="719629ec88eeea69eed0890a11ac8b21">
  <xsd:schema xmlns:xsd="http://www.w3.org/2001/XMLSchema" xmlns:xs="http://www.w3.org/2001/XMLSchema" xmlns:p="http://schemas.microsoft.com/office/2006/metadata/properties" xmlns:ns3="79e4b0c4-e970-40da-82e8-36678b1f9c7a" targetNamespace="http://schemas.microsoft.com/office/2006/metadata/properties" ma:root="true" ma:fieldsID="cae6f07d2ebe153d4e360fca731c26dd" ns3:_="">
    <xsd:import namespace="79e4b0c4-e970-40da-82e8-36678b1f9c7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LengthInSeconds" minOccurs="0"/>
                <xsd:element ref="ns3:_activity" minOccurs="0"/>
                <xsd:element ref="ns3:MediaServiceSearchProperties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9e4b0c4-e970-40da-82e8-36678b1f9c7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_activity" ma:index="12" nillable="true" ma:displayName="_activity" ma:hidden="true" ma:internalName="_activity">
      <xsd:simpleType>
        <xsd:restriction base="dms:Note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79e4b0c4-e970-40da-82e8-36678b1f9c7a" xsi:nil="true"/>
  </documentManagement>
</p:properties>
</file>

<file path=customXml/itemProps1.xml><?xml version="1.0" encoding="utf-8"?>
<ds:datastoreItem xmlns:ds="http://schemas.openxmlformats.org/officeDocument/2006/customXml" ds:itemID="{4B35847B-FA3C-4AB6-BB76-B6DF30BF637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9e4b0c4-e970-40da-82e8-36678b1f9c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1C9ADB8-D1C2-443F-8AF5-6631DD3B59A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C628A62-A943-4976-B8FF-41F36D123A4E}">
  <ds:schemaRefs>
    <ds:schemaRef ds:uri="http://purl.org/dc/dcmitype/"/>
    <ds:schemaRef ds:uri="http://schemas.openxmlformats.org/package/2006/metadata/core-properties"/>
    <ds:schemaRef ds:uri="http://purl.org/dc/terms/"/>
    <ds:schemaRef ds:uri="http://www.w3.org/XML/1998/namespace"/>
    <ds:schemaRef ds:uri="http://schemas.microsoft.com/office/infopath/2007/PartnerControls"/>
    <ds:schemaRef ds:uri="79e4b0c4-e970-40da-82e8-36678b1f9c7a"/>
    <ds:schemaRef ds:uri="http://schemas.microsoft.com/office/2006/documentManagement/types"/>
    <ds:schemaRef ds:uri="http://schemas.microsoft.com/office/2006/metadata/properties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53</vt:i4>
      </vt:variant>
    </vt:vector>
  </HeadingPairs>
  <TitlesOfParts>
    <vt:vector size="58" baseType="lpstr">
      <vt:lpstr>Pricer</vt:lpstr>
      <vt:lpstr>Analysis</vt:lpstr>
      <vt:lpstr>OptPriceGraph</vt:lpstr>
      <vt:lpstr>StockPriceGraph</vt:lpstr>
      <vt:lpstr>CumulativeProbaGraph</vt:lpstr>
      <vt:lpstr>Alpha</vt:lpstr>
      <vt:lpstr>BaseYear</vt:lpstr>
      <vt:lpstr>BSPrice</vt:lpstr>
      <vt:lpstr>BSPriceAnalysis</vt:lpstr>
      <vt:lpstr>BSTime</vt:lpstr>
      <vt:lpstr>BSTimeAnalysis</vt:lpstr>
      <vt:lpstr>CumulativeProbaGraph</vt:lpstr>
      <vt:lpstr>Delta</vt:lpstr>
      <vt:lpstr>DeltaEmpirique</vt:lpstr>
      <vt:lpstr>Dividend</vt:lpstr>
      <vt:lpstr>ExDateDiv</vt:lpstr>
      <vt:lpstr>ExerciseType</vt:lpstr>
      <vt:lpstr>FirstStepUsed</vt:lpstr>
      <vt:lpstr>FirstStrikeUsed</vt:lpstr>
      <vt:lpstr>Gamma</vt:lpstr>
      <vt:lpstr>GammaEmpirique</vt:lpstr>
      <vt:lpstr>CumulativeProbaGraph!GraphPlot</vt:lpstr>
      <vt:lpstr>OptPriceGraph!GraphPlot</vt:lpstr>
      <vt:lpstr>StockPriceGraph!GraphPlot</vt:lpstr>
      <vt:lpstr>InterestRate</vt:lpstr>
      <vt:lpstr>LecturePrice</vt:lpstr>
      <vt:lpstr>LectureTime</vt:lpstr>
      <vt:lpstr>LongOptionDeltaHedging</vt:lpstr>
      <vt:lpstr>Maturity</vt:lpstr>
      <vt:lpstr>ModeleConclusion</vt:lpstr>
      <vt:lpstr>NbSteps</vt:lpstr>
      <vt:lpstr>OptionType</vt:lpstr>
      <vt:lpstr>OptPriceGraph</vt:lpstr>
      <vt:lpstr>OurPrice</vt:lpstr>
      <vt:lpstr>OurPriceAnalysis</vt:lpstr>
      <vt:lpstr>OurTime</vt:lpstr>
      <vt:lpstr>OurTimeAnalysis</vt:lpstr>
      <vt:lpstr>PriceConvergenceBS</vt:lpstr>
      <vt:lpstr>PricingDate</vt:lpstr>
      <vt:lpstr>PricingGap</vt:lpstr>
      <vt:lpstr>Pruning</vt:lpstr>
      <vt:lpstr>Rho</vt:lpstr>
      <vt:lpstr>RhoEmpirique</vt:lpstr>
      <vt:lpstr>ShortOptionDeltaHedging</vt:lpstr>
      <vt:lpstr>StockPrice</vt:lpstr>
      <vt:lpstr>StockPriceGraph</vt:lpstr>
      <vt:lpstr>Strike</vt:lpstr>
      <vt:lpstr>StrikeBSPriceAnalysis</vt:lpstr>
      <vt:lpstr>StrikeOurPriceAnalysis</vt:lpstr>
      <vt:lpstr>StrikePriceConvergenceBS</vt:lpstr>
      <vt:lpstr>StrikeTimeConvergenceBS</vt:lpstr>
      <vt:lpstr>Theta</vt:lpstr>
      <vt:lpstr>ThetaEmpirique</vt:lpstr>
      <vt:lpstr>TimeConvergenceBS</vt:lpstr>
      <vt:lpstr>TimeGap</vt:lpstr>
      <vt:lpstr>Vega</vt:lpstr>
      <vt:lpstr>VegaEmpirique</vt:lpstr>
      <vt:lpstr>Vol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Cecile Lin</dc:creator>
  <cp:lastModifiedBy>enzo montariol</cp:lastModifiedBy>
  <dcterms:created xsi:type="dcterms:W3CDTF">2024-09-25T13:58:04Z</dcterms:created>
  <dcterms:modified xsi:type="dcterms:W3CDTF">2024-10-29T10:25:22Z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0x010100C0F39450E65FC74A9E6DE9EE55B1C397</vt:lpwstr>
  </property>
</Properties>
</file>