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ince\Downloads\"/>
    </mc:Choice>
  </mc:AlternateContent>
  <xr:revisionPtr revIDLastSave="0" documentId="13_ncr:1_{41FDCC4B-83B5-48CE-9712-B5788266EDD0}" xr6:coauthVersionLast="47" xr6:coauthVersionMax="47" xr10:uidLastSave="{00000000-0000-0000-0000-000000000000}"/>
  <bookViews>
    <workbookView xWindow="-98" yWindow="-98" windowWidth="21795" windowHeight="13875" tabRatio="918" xr2:uid="{66C7C7C7-FF3B-41D6-9E6B-74899EA302A8}"/>
  </bookViews>
  <sheets>
    <sheet name="Pricer" sheetId="1" r:id="rId1"/>
    <sheet name="Analysis" sheetId="5" r:id="rId2"/>
    <sheet name="OptPriceGraph" sheetId="2" r:id="rId3"/>
    <sheet name="StockPriceGraph" sheetId="4" r:id="rId4"/>
    <sheet name="CumulativeProbaGraph" sheetId="3" r:id="rId5"/>
  </sheets>
  <functionGroups builtInGroupCount="19"/>
  <definedNames>
    <definedName name="_xleta.DAY" hidden="1" xlm="1">#NAME?</definedName>
    <definedName name="Alpha">Pricer!$D$21</definedName>
    <definedName name="BaseYear">Pricer!$D$22</definedName>
    <definedName name="BSPrice">Pricer!$G$28</definedName>
    <definedName name="BSPriceAnalysis">Analysis!$C$11</definedName>
    <definedName name="BSTime">Pricer!$H$28</definedName>
    <definedName name="BSTimeAnalysis">Analysis!$D$11</definedName>
    <definedName name="CumulativeProbaGraph">Pricer!$H$14</definedName>
    <definedName name="Delta">Pricer!$K$12</definedName>
    <definedName name="DeltaEmpirique">Pricer!$K$14</definedName>
    <definedName name="Dividend">Pricer!$D$14</definedName>
    <definedName name="ExDateDiv">Pricer!$D$15</definedName>
    <definedName name="ExerciseType">Pricer!$D$28</definedName>
    <definedName name="FirstStepUsed">Analysis!$C$19</definedName>
    <definedName name="FirstStrikeUsed">Analysis!$C$51</definedName>
    <definedName name="Gamma">Pricer!$L$12</definedName>
    <definedName name="GammaEmpirique">Pricer!$L$14</definedName>
    <definedName name="GraphPlot" localSheetId="4">CumulativeProbaGraph!$B$5</definedName>
    <definedName name="GraphPlot" localSheetId="2">OptPriceGraph!$B$5</definedName>
    <definedName name="GraphPlot" localSheetId="3">StockPriceGraph!$B$5</definedName>
    <definedName name="InterestRate">Pricer!$D$13</definedName>
    <definedName name="LecturePrice">Pricer!$J$27</definedName>
    <definedName name="LectureTime">Pricer!$J$28</definedName>
    <definedName name="LectureTimeEnd">Pricer!$Q$29</definedName>
    <definedName name="LongOptionDeltaHedging">Pricer!$J$22</definedName>
    <definedName name="LongOptionDeltaHedgingEnd">Pricer!$Q$23</definedName>
    <definedName name="Maturity">Pricer!$D$26</definedName>
    <definedName name="ModeleConclusion">Pricer!$J$19</definedName>
    <definedName name="ModeleConclusionEnd">Pricer!$Q2</definedName>
    <definedName name="NbSteps">Pricer!$D$20</definedName>
    <definedName name="OptionType">Pricer!$D$27</definedName>
    <definedName name="OptPriceGraph">Pricer!$H$12</definedName>
    <definedName name="OurPrice">Pricer!$G$26</definedName>
    <definedName name="OurPriceAnalysis">Analysis!$D$19</definedName>
    <definedName name="OurTime">Pricer!$H$26</definedName>
    <definedName name="OurTimeAnalysis">Analysis!$E$19</definedName>
    <definedName name="PriceConvergenceBS">Analysis!$F$19</definedName>
    <definedName name="PricingDate">Pricer!$D$19</definedName>
    <definedName name="PricingGap">Pricer!$G$29</definedName>
    <definedName name="Pruning">Pricer!$H$15</definedName>
    <definedName name="Rho">Pricer!$O$12</definedName>
    <definedName name="RhoEmpirique">Pricer!$O$14</definedName>
    <definedName name="ShortOptionDeltaHedging">Pricer!$J$24</definedName>
    <definedName name="ShortOptionDeltaHedgingEnd">Pricer!$Q$25</definedName>
    <definedName name="StockPrice">Pricer!$D$11</definedName>
    <definedName name="StockPriceGraph">Pricer!$H$13</definedName>
    <definedName name="Strike">Pricer!$D$29</definedName>
    <definedName name="StrikeBSPriceAnalysis">Analysis!$E$51</definedName>
    <definedName name="StrikeBSTimeAnalysis">Analysis!#REF!</definedName>
    <definedName name="StrikeOurPriceAnalysis">Analysis!$D$51</definedName>
    <definedName name="StrikeOurTimeAnalysis">Analysis!#REF!</definedName>
    <definedName name="StrikePriceConvergenceBS">Analysis!$F$51</definedName>
    <definedName name="StrikeTimeConvergenceBS">Analysis!$G$51</definedName>
    <definedName name="Theta">Pricer!$N$12</definedName>
    <definedName name="ThetaEmpirique">Pricer!$N$14</definedName>
    <definedName name="TimeConvergenceBS">Analysis!$G$19</definedName>
    <definedName name="TimeGap">Pricer!$H$29</definedName>
    <definedName name="Vega">Pricer!$M$12</definedName>
    <definedName name="VegaEmpirique">Pricer!$M$14</definedName>
    <definedName name="Vol">Pricer!$D$12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5" l="1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20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149" i="5"/>
  <c r="F150" i="5"/>
  <c r="F151" i="5"/>
  <c r="F152" i="5"/>
  <c r="F153" i="5"/>
  <c r="F154" i="5"/>
  <c r="F155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13" i="5"/>
  <c r="C96" i="5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78" i="5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51" i="5"/>
</calcChain>
</file>

<file path=xl/sharedStrings.xml><?xml version="1.0" encoding="utf-8"?>
<sst xmlns="http://schemas.openxmlformats.org/spreadsheetml/2006/main" count="78" uniqueCount="67">
  <si>
    <t>Market</t>
  </si>
  <si>
    <t>Stock Price S</t>
  </si>
  <si>
    <t>Volatility</t>
  </si>
  <si>
    <t>Interest Rate</t>
  </si>
  <si>
    <t>Dividend</t>
  </si>
  <si>
    <t>Ex-Date Dividend</t>
  </si>
  <si>
    <t>Pricer</t>
  </si>
  <si>
    <t>Princing Date</t>
  </si>
  <si>
    <t>Nb Steps</t>
  </si>
  <si>
    <t>Option</t>
  </si>
  <si>
    <t>Maturity</t>
  </si>
  <si>
    <t>Type</t>
  </si>
  <si>
    <t>Exercise</t>
  </si>
  <si>
    <t>Strike</t>
  </si>
  <si>
    <t>Graph</t>
  </si>
  <si>
    <t>Call</t>
  </si>
  <si>
    <t>Trinomial Tree</t>
  </si>
  <si>
    <t>Price</t>
  </si>
  <si>
    <t>Time</t>
  </si>
  <si>
    <t>Black-Scholes</t>
  </si>
  <si>
    <t>Pricing Gap</t>
  </si>
  <si>
    <t>More Information</t>
  </si>
  <si>
    <t>Explication</t>
  </si>
  <si>
    <t>Greeks</t>
  </si>
  <si>
    <t>Delta</t>
  </si>
  <si>
    <t>Gamma</t>
  </si>
  <si>
    <t>Vega</t>
  </si>
  <si>
    <t>Theta</t>
  </si>
  <si>
    <t>Rho</t>
  </si>
  <si>
    <t>Oui/Non</t>
  </si>
  <si>
    <t>Probabilité cumulée</t>
  </si>
  <si>
    <t>Steps</t>
  </si>
  <si>
    <t>Cécile LIN &amp; Enzo MONTARIOL</t>
  </si>
  <si>
    <t>Result</t>
  </si>
  <si>
    <t>Year Base</t>
  </si>
  <si>
    <t>Alpha Parameter</t>
  </si>
  <si>
    <t>Prix de l'Option</t>
  </si>
  <si>
    <t>Prix du Sous Jacent</t>
  </si>
  <si>
    <t>Trinomial Tree Price</t>
  </si>
  <si>
    <t>Oui</t>
  </si>
  <si>
    <t>Conclusion :</t>
  </si>
  <si>
    <t>Lecture :</t>
  </si>
  <si>
    <t>Variation Empirique</t>
  </si>
  <si>
    <t>DeltaEmpirique</t>
  </si>
  <si>
    <t>GammaEmpirique</t>
  </si>
  <si>
    <t>VegaEmpirique</t>
  </si>
  <si>
    <t>ThetaEmpirique</t>
  </si>
  <si>
    <t>RhoEmpirique</t>
  </si>
  <si>
    <t>Pruning</t>
  </si>
  <si>
    <t>Elagage</t>
  </si>
  <si>
    <t>Convergence avec Black-Scholes</t>
  </si>
  <si>
    <t>Time Gap avec Black-Scholes</t>
  </si>
  <si>
    <t>Trinomial Tree Time</t>
  </si>
  <si>
    <t>Européen</t>
  </si>
  <si>
    <t>Black-Scholes Price</t>
  </si>
  <si>
    <t xml:space="preserve">Cette analyse ne sera fait qu'avec le pruning. Il est déconseillé de lancer l'analyse en VBA au risque d'attendre une certaine période de temps. </t>
  </si>
  <si>
    <t>Hedging :</t>
  </si>
  <si>
    <t>Pour un Call Européen: avec un prix de départ du sous jacent à 100, un strike à 101, une volatilité et un taux d'intérêt à 2%, une date de pricing au 13/01/2024 et une maturité au 23/10/2024, on obtient le tableau suivant différent steps.</t>
  </si>
  <si>
    <t>Pour un Call Européen: avec un prix de départ du sous jacent à 100, un pas de temps de 10, une volatilité à 30% et un taux d'intérêt à 2%, une date de pricing au 13/01/2024 et une maturité au 23/10/2024, on obtient ce tableau suivant différent strike.</t>
  </si>
  <si>
    <t>Black Scholes</t>
  </si>
  <si>
    <t>Greeks via BS</t>
  </si>
  <si>
    <t>-</t>
  </si>
  <si>
    <t>Notre résultat est inférieur de -0,00085 à celui du modèle Black-Scholes.</t>
  </si>
  <si>
    <t>D'après notre modèle et selon les caractéristiques entrée par l'utilisateur,  un Call de type Européen de strike 101 et de maturité 23/10/2024 a un prix de 1,01595952270198</t>
  </si>
  <si>
    <t>En achetant une option, on a alors un delta de 0,620299870818387 donc pour se delta hedger il faut vendre 0,620299870818387 du sous-jacent.</t>
  </si>
  <si>
    <t>En vendant une option, on a alors un delta de 0,620299870818387 donc pour se delta hedger il faut acheter 0,620299870818387 du sous-jacent.</t>
  </si>
  <si>
    <t>Notre modèle donne un résultat en 0,06299 secondes, soit supérieur de 0,06299 secondes par rapport à celui du modèle Black-Scholes.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</si>
</sst>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u val="double"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thin">
        <color theme="0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9" fontId="0" fillId="3" borderId="4" xfId="0" applyNumberFormat="1" applyFill="1" applyBorder="1" applyAlignment="1">
      <alignment horizontal="center" vertical="center"/>
    </xf>
    <xf numFmtId="0" fontId="0" fillId="3" borderId="5" xfId="0" applyFill="1" applyBorder="1"/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" xfId="0" applyFill="1" applyBorder="1"/>
    <xf numFmtId="14" fontId="0" fillId="3" borderId="2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6" xfId="0" applyFill="1" applyBorder="1"/>
    <xf numFmtId="0" fontId="0" fillId="3" borderId="0" xfId="0" applyFill="1"/>
    <xf numFmtId="0" fontId="3" fillId="3" borderId="12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11" xfId="0" applyFill="1" applyBorder="1"/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13" xfId="0" applyFill="1" applyBorder="1"/>
    <xf numFmtId="0" fontId="3" fillId="3" borderId="1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3" borderId="0" xfId="0" applyFont="1" applyFill="1"/>
    <xf numFmtId="0" fontId="0" fillId="3" borderId="1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4" borderId="0" xfId="0" applyFont="1" applyFill="1"/>
    <xf numFmtId="0" fontId="0" fillId="2" borderId="0" xfId="0" applyFill="1"/>
    <xf numFmtId="0" fontId="0" fillId="3" borderId="4" xfId="0" applyFill="1" applyBorder="1" applyAlignment="1">
      <alignment wrapText="1"/>
    </xf>
    <xf numFmtId="0" fontId="1" fillId="2" borderId="1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4" borderId="0" xfId="0" applyFill="1"/>
    <xf numFmtId="0" fontId="2" fillId="4" borderId="0" xfId="0" applyFont="1" applyFill="1"/>
    <xf numFmtId="0" fontId="4" fillId="4" borderId="0" xfId="0" applyFont="1" applyFill="1" applyAlignment="1">
      <alignment horizontal="center" vertical="center"/>
    </xf>
    <xf numFmtId="0" fontId="10" fillId="4" borderId="0" xfId="0" applyFont="1" applyFill="1"/>
    <xf numFmtId="0" fontId="0" fillId="3" borderId="10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wrapText="1"/>
    </xf>
    <xf numFmtId="0" fontId="9" fillId="3" borderId="1" xfId="0" applyFont="1" applyFill="1" applyBorder="1"/>
    <xf numFmtId="0" fontId="9" fillId="3" borderId="3" xfId="0" applyFont="1" applyFill="1" applyBorder="1"/>
    <xf numFmtId="0" fontId="0" fillId="3" borderId="3" xfId="0" applyFill="1" applyBorder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3" borderId="4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0" fontId="0" fillId="3" borderId="11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0" fontId="5" fillId="2" borderId="0" xfId="0" applyFont="1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0" fillId="3" borderId="3" xfId="0" applyFill="1" applyBorder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3" borderId="4" xfId="0" applyFill="1" applyBorder="1" applyAlignment="1">
      <alignment horizontal="left" vertical="center" wrapText="1"/>
    </xf>
    <xf numFmtId="0" fontId="0" fillId="3" borderId="3" xfId="0" applyFill="1" applyBorder="1" applyAlignment="1">
      <alignment wrapText="1"/>
    </xf>
    <xf numFmtId="0" fontId="0" fillId="3" borderId="0" xfId="0" applyFill="1" applyAlignment="1">
      <alignment wrapText="1"/>
    </xf>
    <xf numFmtId="0" fontId="0" fillId="3" borderId="4" xfId="0" applyFill="1" applyBorder="1" applyAlignment="1">
      <alignment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Impact</a:t>
            </a:r>
            <a:r>
              <a:rPr lang="fr-FR" baseline="0"/>
              <a:t> sur le prix avec une variation du strike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Analysis!$D$50</c:f>
              <c:strCache>
                <c:ptCount val="1"/>
                <c:pt idx="0">
                  <c:v>Trinomial Tree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Analysis!$C$51:$C$155</c:f>
              <c:numCache>
                <c:formatCode>General</c:formatCode>
                <c:ptCount val="105"/>
                <c:pt idx="0">
                  <c:v>39</c:v>
                </c:pt>
                <c:pt idx="1">
                  <c:v>41</c:v>
                </c:pt>
                <c:pt idx="2">
                  <c:v>43</c:v>
                </c:pt>
                <c:pt idx="3">
                  <c:v>45</c:v>
                </c:pt>
                <c:pt idx="4">
                  <c:v>47</c:v>
                </c:pt>
                <c:pt idx="5">
                  <c:v>49</c:v>
                </c:pt>
                <c:pt idx="6">
                  <c:v>51</c:v>
                </c:pt>
                <c:pt idx="7">
                  <c:v>53</c:v>
                </c:pt>
                <c:pt idx="8">
                  <c:v>55</c:v>
                </c:pt>
                <c:pt idx="9">
                  <c:v>57</c:v>
                </c:pt>
                <c:pt idx="10">
                  <c:v>59</c:v>
                </c:pt>
                <c:pt idx="11">
                  <c:v>61</c:v>
                </c:pt>
                <c:pt idx="12">
                  <c:v>63</c:v>
                </c:pt>
                <c:pt idx="13">
                  <c:v>65</c:v>
                </c:pt>
                <c:pt idx="14">
                  <c:v>67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79</c:v>
                </c:pt>
                <c:pt idx="21">
                  <c:v>81</c:v>
                </c:pt>
                <c:pt idx="22">
                  <c:v>83</c:v>
                </c:pt>
                <c:pt idx="23">
                  <c:v>85</c:v>
                </c:pt>
                <c:pt idx="24">
                  <c:v>87</c:v>
                </c:pt>
                <c:pt idx="25">
                  <c:v>89</c:v>
                </c:pt>
                <c:pt idx="26">
                  <c:v>91</c:v>
                </c:pt>
                <c:pt idx="27">
                  <c:v>91.5</c:v>
                </c:pt>
                <c:pt idx="28">
                  <c:v>92</c:v>
                </c:pt>
                <c:pt idx="29">
                  <c:v>92.5</c:v>
                </c:pt>
                <c:pt idx="30">
                  <c:v>93</c:v>
                </c:pt>
                <c:pt idx="31">
                  <c:v>93.5</c:v>
                </c:pt>
                <c:pt idx="32">
                  <c:v>94</c:v>
                </c:pt>
                <c:pt idx="33">
                  <c:v>94.5</c:v>
                </c:pt>
                <c:pt idx="34">
                  <c:v>95</c:v>
                </c:pt>
                <c:pt idx="35">
                  <c:v>95.5</c:v>
                </c:pt>
                <c:pt idx="36">
                  <c:v>96</c:v>
                </c:pt>
                <c:pt idx="37">
                  <c:v>96.5</c:v>
                </c:pt>
                <c:pt idx="38">
                  <c:v>97</c:v>
                </c:pt>
                <c:pt idx="39">
                  <c:v>97.5</c:v>
                </c:pt>
                <c:pt idx="40">
                  <c:v>98</c:v>
                </c:pt>
                <c:pt idx="41">
                  <c:v>98.5</c:v>
                </c:pt>
                <c:pt idx="42">
                  <c:v>99</c:v>
                </c:pt>
                <c:pt idx="43">
                  <c:v>99.5</c:v>
                </c:pt>
                <c:pt idx="44">
                  <c:v>101</c:v>
                </c:pt>
                <c:pt idx="45">
                  <c:v>103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111</c:v>
                </c:pt>
                <c:pt idx="50">
                  <c:v>113</c:v>
                </c:pt>
                <c:pt idx="51">
                  <c:v>115</c:v>
                </c:pt>
                <c:pt idx="52">
                  <c:v>117</c:v>
                </c:pt>
                <c:pt idx="53">
                  <c:v>119</c:v>
                </c:pt>
                <c:pt idx="54">
                  <c:v>121</c:v>
                </c:pt>
                <c:pt idx="55">
                  <c:v>123</c:v>
                </c:pt>
                <c:pt idx="56">
                  <c:v>125</c:v>
                </c:pt>
                <c:pt idx="57">
                  <c:v>127</c:v>
                </c:pt>
                <c:pt idx="58">
                  <c:v>129</c:v>
                </c:pt>
                <c:pt idx="59">
                  <c:v>131</c:v>
                </c:pt>
                <c:pt idx="60">
                  <c:v>133</c:v>
                </c:pt>
                <c:pt idx="61">
                  <c:v>135</c:v>
                </c:pt>
                <c:pt idx="62">
                  <c:v>137</c:v>
                </c:pt>
                <c:pt idx="63">
                  <c:v>139</c:v>
                </c:pt>
                <c:pt idx="64">
                  <c:v>141</c:v>
                </c:pt>
                <c:pt idx="65">
                  <c:v>143</c:v>
                </c:pt>
                <c:pt idx="66">
                  <c:v>145</c:v>
                </c:pt>
                <c:pt idx="67">
                  <c:v>147</c:v>
                </c:pt>
                <c:pt idx="68">
                  <c:v>149</c:v>
                </c:pt>
                <c:pt idx="69">
                  <c:v>151</c:v>
                </c:pt>
                <c:pt idx="70">
                  <c:v>153</c:v>
                </c:pt>
                <c:pt idx="71">
                  <c:v>155</c:v>
                </c:pt>
                <c:pt idx="72">
                  <c:v>157</c:v>
                </c:pt>
                <c:pt idx="73">
                  <c:v>159</c:v>
                </c:pt>
                <c:pt idx="74">
                  <c:v>161</c:v>
                </c:pt>
                <c:pt idx="75">
                  <c:v>163</c:v>
                </c:pt>
                <c:pt idx="76">
                  <c:v>165</c:v>
                </c:pt>
                <c:pt idx="77">
                  <c:v>167</c:v>
                </c:pt>
                <c:pt idx="78">
                  <c:v>169</c:v>
                </c:pt>
                <c:pt idx="79">
                  <c:v>171</c:v>
                </c:pt>
                <c:pt idx="80">
                  <c:v>173</c:v>
                </c:pt>
                <c:pt idx="81">
                  <c:v>175</c:v>
                </c:pt>
                <c:pt idx="82">
                  <c:v>177</c:v>
                </c:pt>
                <c:pt idx="83">
                  <c:v>179</c:v>
                </c:pt>
                <c:pt idx="84">
                  <c:v>181</c:v>
                </c:pt>
                <c:pt idx="85">
                  <c:v>183</c:v>
                </c:pt>
                <c:pt idx="86">
                  <c:v>185</c:v>
                </c:pt>
                <c:pt idx="87">
                  <c:v>187</c:v>
                </c:pt>
                <c:pt idx="88">
                  <c:v>189</c:v>
                </c:pt>
                <c:pt idx="89">
                  <c:v>191</c:v>
                </c:pt>
                <c:pt idx="90">
                  <c:v>193</c:v>
                </c:pt>
                <c:pt idx="91">
                  <c:v>195</c:v>
                </c:pt>
                <c:pt idx="92">
                  <c:v>197</c:v>
                </c:pt>
                <c:pt idx="93">
                  <c:v>199</c:v>
                </c:pt>
                <c:pt idx="94">
                  <c:v>201</c:v>
                </c:pt>
                <c:pt idx="95">
                  <c:v>203</c:v>
                </c:pt>
                <c:pt idx="96">
                  <c:v>205</c:v>
                </c:pt>
                <c:pt idx="97">
                  <c:v>207</c:v>
                </c:pt>
                <c:pt idx="98">
                  <c:v>209</c:v>
                </c:pt>
                <c:pt idx="99">
                  <c:v>211</c:v>
                </c:pt>
                <c:pt idx="100">
                  <c:v>213</c:v>
                </c:pt>
                <c:pt idx="101">
                  <c:v>215</c:v>
                </c:pt>
                <c:pt idx="102">
                  <c:v>217</c:v>
                </c:pt>
                <c:pt idx="103">
                  <c:v>219</c:v>
                </c:pt>
                <c:pt idx="104">
                  <c:v>221</c:v>
                </c:pt>
              </c:numCache>
            </c:numRef>
          </c:xVal>
          <c:yVal>
            <c:numRef>
              <c:f>Analysis!$D$51:$D$155</c:f>
              <c:numCache>
                <c:formatCode>General</c:formatCode>
                <c:ptCount val="105"/>
                <c:pt idx="0">
                  <c:v>61.602840419431104</c:v>
                </c:pt>
                <c:pt idx="1">
                  <c:v>59.634198484007825</c:v>
                </c:pt>
                <c:pt idx="2">
                  <c:v>57.666199631889704</c:v>
                </c:pt>
                <c:pt idx="3">
                  <c:v>55.700527994891893</c:v>
                </c:pt>
                <c:pt idx="4">
                  <c:v>53.734856357894088</c:v>
                </c:pt>
                <c:pt idx="5">
                  <c:v>51.769184720896291</c:v>
                </c:pt>
                <c:pt idx="6">
                  <c:v>49.816543135410164</c:v>
                </c:pt>
                <c:pt idx="7">
                  <c:v>47.865400003680584</c:v>
                </c:pt>
                <c:pt idx="8">
                  <c:v>45.91425687195099</c:v>
                </c:pt>
                <c:pt idx="9">
                  <c:v>43.966198562295077</c:v>
                </c:pt>
                <c:pt idx="10">
                  <c:v>42.06695003173494</c:v>
                </c:pt>
                <c:pt idx="11">
                  <c:v>40.167701501174783</c:v>
                </c:pt>
                <c:pt idx="12">
                  <c:v>38.268452970614646</c:v>
                </c:pt>
                <c:pt idx="13">
                  <c:v>36.369204440054503</c:v>
                </c:pt>
                <c:pt idx="14">
                  <c:v>34.555533791521356</c:v>
                </c:pt>
                <c:pt idx="15">
                  <c:v>32.793540452793287</c:v>
                </c:pt>
                <c:pt idx="16">
                  <c:v>31.031547114065219</c:v>
                </c:pt>
                <c:pt idx="17">
                  <c:v>29.269553775337155</c:v>
                </c:pt>
                <c:pt idx="18">
                  <c:v>27.50756043660909</c:v>
                </c:pt>
                <c:pt idx="19">
                  <c:v>25.879420062305865</c:v>
                </c:pt>
                <c:pt idx="20">
                  <c:v>24.38747748204193</c:v>
                </c:pt>
                <c:pt idx="21">
                  <c:v>22.895534901777992</c:v>
                </c:pt>
                <c:pt idx="22">
                  <c:v>21.403592321514054</c:v>
                </c:pt>
                <c:pt idx="23">
                  <c:v>19.91164974125012</c:v>
                </c:pt>
                <c:pt idx="24">
                  <c:v>18.419707160986185</c:v>
                </c:pt>
                <c:pt idx="25">
                  <c:v>17.15200173346533</c:v>
                </c:pt>
                <c:pt idx="26">
                  <c:v>16.054828882115721</c:v>
                </c:pt>
                <c:pt idx="27">
                  <c:v>15.506242456440923</c:v>
                </c:pt>
                <c:pt idx="28">
                  <c:v>15.506242456440923</c:v>
                </c:pt>
                <c:pt idx="29">
                  <c:v>15.506242456440923</c:v>
                </c:pt>
                <c:pt idx="30">
                  <c:v>14.957656030766119</c:v>
                </c:pt>
                <c:pt idx="31">
                  <c:v>14.409069605091316</c:v>
                </c:pt>
                <c:pt idx="32">
                  <c:v>14.409069605091316</c:v>
                </c:pt>
                <c:pt idx="33">
                  <c:v>14.409069605091316</c:v>
                </c:pt>
                <c:pt idx="34">
                  <c:v>13.860483179416512</c:v>
                </c:pt>
                <c:pt idx="35">
                  <c:v>13.31189675374171</c:v>
                </c:pt>
                <c:pt idx="36">
                  <c:v>13.31189675374171</c:v>
                </c:pt>
                <c:pt idx="37">
                  <c:v>13.31189675374171</c:v>
                </c:pt>
                <c:pt idx="38">
                  <c:v>12.763310328066904</c:v>
                </c:pt>
                <c:pt idx="39">
                  <c:v>12.2147239023921</c:v>
                </c:pt>
                <c:pt idx="40">
                  <c:v>12.2147239023921</c:v>
                </c:pt>
                <c:pt idx="41">
                  <c:v>12.2147239023921</c:v>
                </c:pt>
                <c:pt idx="42">
                  <c:v>11.666137476717298</c:v>
                </c:pt>
                <c:pt idx="43">
                  <c:v>11.117551051042495</c:v>
                </c:pt>
                <c:pt idx="44">
                  <c:v>10.568964625367693</c:v>
                </c:pt>
                <c:pt idx="45">
                  <c:v>9.7775981966023728</c:v>
                </c:pt>
                <c:pt idx="46">
                  <c:v>9.1076294281770185</c:v>
                </c:pt>
                <c:pt idx="47">
                  <c:v>8.4376606597516641</c:v>
                </c:pt>
                <c:pt idx="48">
                  <c:v>7.7676918913263089</c:v>
                </c:pt>
                <c:pt idx="49">
                  <c:v>7.0977231229009563</c:v>
                </c:pt>
                <c:pt idx="50">
                  <c:v>6.4277543544756028</c:v>
                </c:pt>
                <c:pt idx="51">
                  <c:v>5.7577855860502485</c:v>
                </c:pt>
                <c:pt idx="52">
                  <c:v>5.087816817624895</c:v>
                </c:pt>
                <c:pt idx="53">
                  <c:v>4.6893065274005012</c:v>
                </c:pt>
                <c:pt idx="54">
                  <c:v>4.3608421396218899</c:v>
                </c:pt>
                <c:pt idx="55">
                  <c:v>4.0323777518432768</c:v>
                </c:pt>
                <c:pt idx="56">
                  <c:v>3.7039133640646669</c:v>
                </c:pt>
                <c:pt idx="57">
                  <c:v>3.3754489762860542</c:v>
                </c:pt>
                <c:pt idx="58">
                  <c:v>3.0469845885074429</c:v>
                </c:pt>
                <c:pt idx="59">
                  <c:v>2.7185202007288316</c:v>
                </c:pt>
                <c:pt idx="60">
                  <c:v>2.3900558129502203</c:v>
                </c:pt>
                <c:pt idx="61">
                  <c:v>2.061591425171609</c:v>
                </c:pt>
                <c:pt idx="62">
                  <c:v>1.862162669882012</c:v>
                </c:pt>
                <c:pt idx="63">
                  <c:v>1.7357908175038019</c:v>
                </c:pt>
                <c:pt idx="64">
                  <c:v>1.6094189651255919</c:v>
                </c:pt>
                <c:pt idx="65">
                  <c:v>1.4830471127473812</c:v>
                </c:pt>
                <c:pt idx="66">
                  <c:v>1.3566752603691707</c:v>
                </c:pt>
                <c:pt idx="67">
                  <c:v>1.2303034079909603</c:v>
                </c:pt>
                <c:pt idx="68">
                  <c:v>1.1039315556127502</c:v>
                </c:pt>
                <c:pt idx="69">
                  <c:v>0.97755970323453978</c:v>
                </c:pt>
                <c:pt idx="70">
                  <c:v>0.85118785085632942</c:v>
                </c:pt>
                <c:pt idx="71">
                  <c:v>0.72481599847811906</c:v>
                </c:pt>
                <c:pt idx="72">
                  <c:v>0.60323866898131839</c:v>
                </c:pt>
                <c:pt idx="73">
                  <c:v>0.56572267929642683</c:v>
                </c:pt>
                <c:pt idx="74">
                  <c:v>0.52820668961153527</c:v>
                </c:pt>
                <c:pt idx="75">
                  <c:v>0.49069069992664366</c:v>
                </c:pt>
                <c:pt idx="76">
                  <c:v>0.4531747102417521</c:v>
                </c:pt>
                <c:pt idx="77">
                  <c:v>0.41565872055686054</c:v>
                </c:pt>
                <c:pt idx="78">
                  <c:v>0.37814273087196892</c:v>
                </c:pt>
                <c:pt idx="79">
                  <c:v>0.34062674118707742</c:v>
                </c:pt>
                <c:pt idx="80">
                  <c:v>0.30311075150218592</c:v>
                </c:pt>
                <c:pt idx="81">
                  <c:v>0.2655947618172943</c:v>
                </c:pt>
                <c:pt idx="82">
                  <c:v>0.22807877213240274</c:v>
                </c:pt>
                <c:pt idx="83">
                  <c:v>0.19056278244751115</c:v>
                </c:pt>
                <c:pt idx="84">
                  <c:v>0.15304679276261962</c:v>
                </c:pt>
                <c:pt idx="85">
                  <c:v>0.13931899149258298</c:v>
                </c:pt>
                <c:pt idx="86">
                  <c:v>0.13086543157878139</c:v>
                </c:pt>
                <c:pt idx="87">
                  <c:v>0.12241187166497981</c:v>
                </c:pt>
                <c:pt idx="88">
                  <c:v>0.11395831175117822</c:v>
                </c:pt>
                <c:pt idx="89">
                  <c:v>0.10550475183737662</c:v>
                </c:pt>
                <c:pt idx="90">
                  <c:v>9.7051191923574989E-2</c:v>
                </c:pt>
                <c:pt idx="91">
                  <c:v>8.85976320097734E-2</c:v>
                </c:pt>
                <c:pt idx="92">
                  <c:v>8.0144072095971824E-2</c:v>
                </c:pt>
                <c:pt idx="93">
                  <c:v>7.1690512182170235E-2</c:v>
                </c:pt>
                <c:pt idx="94">
                  <c:v>6.3236952268368632E-2</c:v>
                </c:pt>
                <c:pt idx="95">
                  <c:v>5.4783392354567029E-2</c:v>
                </c:pt>
                <c:pt idx="96">
                  <c:v>4.6329832440765439E-2</c:v>
                </c:pt>
                <c:pt idx="97">
                  <c:v>3.7876272526963829E-2</c:v>
                </c:pt>
                <c:pt idx="98">
                  <c:v>2.942271261316225E-2</c:v>
                </c:pt>
                <c:pt idx="99">
                  <c:v>2.571797877448186E-2</c:v>
                </c:pt>
                <c:pt idx="100">
                  <c:v>2.4302967448755017E-2</c:v>
                </c:pt>
                <c:pt idx="101">
                  <c:v>2.2887956123028172E-2</c:v>
                </c:pt>
                <c:pt idx="102">
                  <c:v>2.1472944797301326E-2</c:v>
                </c:pt>
                <c:pt idx="103">
                  <c:v>2.0057933471574481E-2</c:v>
                </c:pt>
                <c:pt idx="104">
                  <c:v>1.8642922145847639E-2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0B-4B2B-8A7B-C4A7A90A683C}"/>
            </c:ext>
          </c:extLst>
        </c:ser>
        <c:ser>
          <c:idx val="1"/>
          <c:order val="1"/>
          <c:tx>
            <c:strRef>
              <c:f>Analysis!$E$50</c:f>
              <c:strCache>
                <c:ptCount val="1"/>
                <c:pt idx="0">
                  <c:v>Black-Scholes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Analysis!$C$51:$C$155</c:f>
              <c:numCache>
                <c:formatCode>General</c:formatCode>
                <c:ptCount val="105"/>
                <c:pt idx="0">
                  <c:v>39</c:v>
                </c:pt>
                <c:pt idx="1">
                  <c:v>41</c:v>
                </c:pt>
                <c:pt idx="2">
                  <c:v>43</c:v>
                </c:pt>
                <c:pt idx="3">
                  <c:v>45</c:v>
                </c:pt>
                <c:pt idx="4">
                  <c:v>47</c:v>
                </c:pt>
                <c:pt idx="5">
                  <c:v>49</c:v>
                </c:pt>
                <c:pt idx="6">
                  <c:v>51</c:v>
                </c:pt>
                <c:pt idx="7">
                  <c:v>53</c:v>
                </c:pt>
                <c:pt idx="8">
                  <c:v>55</c:v>
                </c:pt>
                <c:pt idx="9">
                  <c:v>57</c:v>
                </c:pt>
                <c:pt idx="10">
                  <c:v>59</c:v>
                </c:pt>
                <c:pt idx="11">
                  <c:v>61</c:v>
                </c:pt>
                <c:pt idx="12">
                  <c:v>63</c:v>
                </c:pt>
                <c:pt idx="13">
                  <c:v>65</c:v>
                </c:pt>
                <c:pt idx="14">
                  <c:v>67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79</c:v>
                </c:pt>
                <c:pt idx="21">
                  <c:v>81</c:v>
                </c:pt>
                <c:pt idx="22">
                  <c:v>83</c:v>
                </c:pt>
                <c:pt idx="23">
                  <c:v>85</c:v>
                </c:pt>
                <c:pt idx="24">
                  <c:v>87</c:v>
                </c:pt>
                <c:pt idx="25">
                  <c:v>89</c:v>
                </c:pt>
                <c:pt idx="26">
                  <c:v>91</c:v>
                </c:pt>
                <c:pt idx="27">
                  <c:v>91.5</c:v>
                </c:pt>
                <c:pt idx="28">
                  <c:v>92</c:v>
                </c:pt>
                <c:pt idx="29">
                  <c:v>92.5</c:v>
                </c:pt>
                <c:pt idx="30">
                  <c:v>93</c:v>
                </c:pt>
                <c:pt idx="31">
                  <c:v>93.5</c:v>
                </c:pt>
                <c:pt idx="32">
                  <c:v>94</c:v>
                </c:pt>
                <c:pt idx="33">
                  <c:v>94.5</c:v>
                </c:pt>
                <c:pt idx="34">
                  <c:v>95</c:v>
                </c:pt>
                <c:pt idx="35">
                  <c:v>95.5</c:v>
                </c:pt>
                <c:pt idx="36">
                  <c:v>96</c:v>
                </c:pt>
                <c:pt idx="37">
                  <c:v>96.5</c:v>
                </c:pt>
                <c:pt idx="38">
                  <c:v>97</c:v>
                </c:pt>
                <c:pt idx="39">
                  <c:v>97.5</c:v>
                </c:pt>
                <c:pt idx="40">
                  <c:v>98</c:v>
                </c:pt>
                <c:pt idx="41">
                  <c:v>98.5</c:v>
                </c:pt>
                <c:pt idx="42">
                  <c:v>99</c:v>
                </c:pt>
                <c:pt idx="43">
                  <c:v>99.5</c:v>
                </c:pt>
                <c:pt idx="44">
                  <c:v>101</c:v>
                </c:pt>
                <c:pt idx="45">
                  <c:v>103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111</c:v>
                </c:pt>
                <c:pt idx="50">
                  <c:v>113</c:v>
                </c:pt>
                <c:pt idx="51">
                  <c:v>115</c:v>
                </c:pt>
                <c:pt idx="52">
                  <c:v>117</c:v>
                </c:pt>
                <c:pt idx="53">
                  <c:v>119</c:v>
                </c:pt>
                <c:pt idx="54">
                  <c:v>121</c:v>
                </c:pt>
                <c:pt idx="55">
                  <c:v>123</c:v>
                </c:pt>
                <c:pt idx="56">
                  <c:v>125</c:v>
                </c:pt>
                <c:pt idx="57">
                  <c:v>127</c:v>
                </c:pt>
                <c:pt idx="58">
                  <c:v>129</c:v>
                </c:pt>
                <c:pt idx="59">
                  <c:v>131</c:v>
                </c:pt>
                <c:pt idx="60">
                  <c:v>133</c:v>
                </c:pt>
                <c:pt idx="61">
                  <c:v>135</c:v>
                </c:pt>
                <c:pt idx="62">
                  <c:v>137</c:v>
                </c:pt>
                <c:pt idx="63">
                  <c:v>139</c:v>
                </c:pt>
                <c:pt idx="64">
                  <c:v>141</c:v>
                </c:pt>
                <c:pt idx="65">
                  <c:v>143</c:v>
                </c:pt>
                <c:pt idx="66">
                  <c:v>145</c:v>
                </c:pt>
                <c:pt idx="67">
                  <c:v>147</c:v>
                </c:pt>
                <c:pt idx="68">
                  <c:v>149</c:v>
                </c:pt>
                <c:pt idx="69">
                  <c:v>151</c:v>
                </c:pt>
                <c:pt idx="70">
                  <c:v>153</c:v>
                </c:pt>
                <c:pt idx="71">
                  <c:v>155</c:v>
                </c:pt>
                <c:pt idx="72">
                  <c:v>157</c:v>
                </c:pt>
                <c:pt idx="73">
                  <c:v>159</c:v>
                </c:pt>
                <c:pt idx="74">
                  <c:v>161</c:v>
                </c:pt>
                <c:pt idx="75">
                  <c:v>163</c:v>
                </c:pt>
                <c:pt idx="76">
                  <c:v>165</c:v>
                </c:pt>
                <c:pt idx="77">
                  <c:v>167</c:v>
                </c:pt>
                <c:pt idx="78">
                  <c:v>169</c:v>
                </c:pt>
                <c:pt idx="79">
                  <c:v>171</c:v>
                </c:pt>
                <c:pt idx="80">
                  <c:v>173</c:v>
                </c:pt>
                <c:pt idx="81">
                  <c:v>175</c:v>
                </c:pt>
                <c:pt idx="82">
                  <c:v>177</c:v>
                </c:pt>
                <c:pt idx="83">
                  <c:v>179</c:v>
                </c:pt>
                <c:pt idx="84">
                  <c:v>181</c:v>
                </c:pt>
                <c:pt idx="85">
                  <c:v>183</c:v>
                </c:pt>
                <c:pt idx="86">
                  <c:v>185</c:v>
                </c:pt>
                <c:pt idx="87">
                  <c:v>187</c:v>
                </c:pt>
                <c:pt idx="88">
                  <c:v>189</c:v>
                </c:pt>
                <c:pt idx="89">
                  <c:v>191</c:v>
                </c:pt>
                <c:pt idx="90">
                  <c:v>193</c:v>
                </c:pt>
                <c:pt idx="91">
                  <c:v>195</c:v>
                </c:pt>
                <c:pt idx="92">
                  <c:v>197</c:v>
                </c:pt>
                <c:pt idx="93">
                  <c:v>199</c:v>
                </c:pt>
                <c:pt idx="94">
                  <c:v>201</c:v>
                </c:pt>
                <c:pt idx="95">
                  <c:v>203</c:v>
                </c:pt>
                <c:pt idx="96">
                  <c:v>205</c:v>
                </c:pt>
                <c:pt idx="97">
                  <c:v>207</c:v>
                </c:pt>
                <c:pt idx="98">
                  <c:v>209</c:v>
                </c:pt>
                <c:pt idx="99">
                  <c:v>211</c:v>
                </c:pt>
                <c:pt idx="100">
                  <c:v>213</c:v>
                </c:pt>
                <c:pt idx="101">
                  <c:v>215</c:v>
                </c:pt>
                <c:pt idx="102">
                  <c:v>217</c:v>
                </c:pt>
                <c:pt idx="103">
                  <c:v>219</c:v>
                </c:pt>
                <c:pt idx="104">
                  <c:v>221</c:v>
                </c:pt>
              </c:numCache>
            </c:numRef>
          </c:xVal>
          <c:yVal>
            <c:numRef>
              <c:f>Analysis!$E$51:$E$155</c:f>
              <c:numCache>
                <c:formatCode>General</c:formatCode>
                <c:ptCount val="105"/>
                <c:pt idx="0">
                  <c:v>61.602799892528424</c:v>
                </c:pt>
                <c:pt idx="1">
                  <c:v>59.634384470550899</c:v>
                </c:pt>
                <c:pt idx="2">
                  <c:v>57.666616396059844</c:v>
                </c:pt>
                <c:pt idx="3">
                  <c:v>55.699942537968958</c:v>
                </c:pt>
                <c:pt idx="4">
                  <c:v>53.735022140511873</c:v>
                </c:pt>
                <c:pt idx="5">
                  <c:v>51.772781130869497</c:v>
                </c:pt>
                <c:pt idx="6">
                  <c:v>49.814463781954068</c:v>
                </c:pt>
                <c:pt idx="7">
                  <c:v>47.861676649994031</c:v>
                </c:pt>
                <c:pt idx="8">
                  <c:v>45.916419999853176</c:v>
                </c:pt>
                <c:pt idx="9">
                  <c:v>43.98110281855503</c:v>
                </c:pt>
                <c:pt idx="10">
                  <c:v>42.058538850509613</c:v>
                </c:pt>
                <c:pt idx="11">
                  <c:v>40.151922665731306</c:v>
                </c:pt>
                <c:pt idx="12">
                  <c:v>38.264786384004253</c:v>
                </c:pt>
                <c:pt idx="13">
                  <c:v>36.40093913709584</c:v>
                </c:pt>
                <c:pt idx="14">
                  <c:v>34.564392518589948</c:v>
                </c:pt>
                <c:pt idx="15">
                  <c:v>32.759276064762588</c:v>
                </c:pt>
                <c:pt idx="16">
                  <c:v>30.98974720437058</c:v>
                </c:pt>
                <c:pt idx="17">
                  <c:v>29.259900131873458</c:v>
                </c:pt>
                <c:pt idx="18">
                  <c:v>27.57367775349659</c:v>
                </c:pt>
                <c:pt idx="19">
                  <c:v>25.934790305077431</c:v>
                </c:pt>
                <c:pt idx="20">
                  <c:v>24.346643528734578</c:v>
                </c:pt>
                <c:pt idx="21">
                  <c:v>22.812278503146825</c:v>
                </c:pt>
                <c:pt idx="22">
                  <c:v>21.334324420632889</c:v>
                </c:pt>
                <c:pt idx="23">
                  <c:v>19.914964850006466</c:v>
                </c:pt>
                <c:pt idx="24">
                  <c:v>18.555917358185638</c:v>
                </c:pt>
                <c:pt idx="25">
                  <c:v>17.258425811127523</c:v>
                </c:pt>
                <c:pt idx="26">
                  <c:v>16.023264247481979</c:v>
                </c:pt>
                <c:pt idx="27">
                  <c:v>15.42917389971832</c:v>
                </c:pt>
                <c:pt idx="28">
                  <c:v>15.42917389971832</c:v>
                </c:pt>
                <c:pt idx="29">
                  <c:v>15.42917389971832</c:v>
                </c:pt>
                <c:pt idx="30">
                  <c:v>14.850750916850078</c:v>
                </c:pt>
                <c:pt idx="31">
                  <c:v>14.287967577594443</c:v>
                </c:pt>
                <c:pt idx="32">
                  <c:v>14.287967577594443</c:v>
                </c:pt>
                <c:pt idx="33">
                  <c:v>14.287967577594443</c:v>
                </c:pt>
                <c:pt idx="34">
                  <c:v>13.740770890715178</c:v>
                </c:pt>
                <c:pt idx="35">
                  <c:v>13.209083652697963</c:v>
                </c:pt>
                <c:pt idx="36">
                  <c:v>13.209083652697963</c:v>
                </c:pt>
                <c:pt idx="37">
                  <c:v>13.209083652697963</c:v>
                </c:pt>
                <c:pt idx="38">
                  <c:v>12.692805574319072</c:v>
                </c:pt>
                <c:pt idx="39">
                  <c:v>12.191814463835778</c:v>
                </c:pt>
                <c:pt idx="40">
                  <c:v>12.191814463835778</c:v>
                </c:pt>
                <c:pt idx="41">
                  <c:v>12.191814463835778</c:v>
                </c:pt>
                <c:pt idx="42">
                  <c:v>11.705967455040035</c:v>
                </c:pt>
                <c:pt idx="43">
                  <c:v>11.23510226900313</c:v>
                </c:pt>
                <c:pt idx="44">
                  <c:v>10.779038498983725</c:v>
                </c:pt>
                <c:pt idx="45">
                  <c:v>9.9105107345724193</c:v>
                </c:pt>
                <c:pt idx="46">
                  <c:v>9.0986277233113508</c:v>
                </c:pt>
                <c:pt idx="47">
                  <c:v>8.3414257990534573</c:v>
                </c:pt>
                <c:pt idx="48">
                  <c:v>7.6367741457888147</c:v>
                </c:pt>
                <c:pt idx="49">
                  <c:v>6.9824129705464113</c:v>
                </c:pt>
                <c:pt idx="50">
                  <c:v>6.3759892050947009</c:v>
                </c:pt>
                <c:pt idx="51">
                  <c:v>5.8150893326189923</c:v>
                </c:pt>
                <c:pt idx="52">
                  <c:v>5.2972690801791176</c:v>
                </c:pt>
                <c:pt idx="53">
                  <c:v>4.8200798428216052</c:v>
                </c:pt>
                <c:pt idx="54">
                  <c:v>4.3810918102952519</c:v>
                </c:pt>
                <c:pt idx="55">
                  <c:v>3.9779138529107283</c:v>
                </c:pt>
                <c:pt idx="56">
                  <c:v>3.608210290381483</c:v>
                </c:pt>
                <c:pt idx="57">
                  <c:v>3.2697147181329331</c:v>
                </c:pt>
                <c:pt idx="58">
                  <c:v>2.9602411014706673</c:v>
                </c:pt>
                <c:pt idx="59">
                  <c:v>2.677692371177558</c:v>
                </c:pt>
                <c:pt idx="60">
                  <c:v>2.4200667665743247</c:v>
                </c:pt>
                <c:pt idx="61">
                  <c:v>2.1854621757584254</c:v>
                </c:pt>
                <c:pt idx="62">
                  <c:v>1.9720787194151932</c:v>
                </c:pt>
                <c:pt idx="63">
                  <c:v>1.7782198158807776</c:v>
                </c:pt>
                <c:pt idx="64">
                  <c:v>1.6022919524395991</c:v>
                </c:pt>
                <c:pt idx="65">
                  <c:v>1.4428033723743852</c:v>
                </c:pt>
                <c:pt idx="66">
                  <c:v>1.2983618700710831</c:v>
                </c:pt>
                <c:pt idx="67">
                  <c:v>1.1676718683517138</c:v>
                </c:pt>
                <c:pt idx="68">
                  <c:v>1.0495309338360239</c:v>
                </c:pt>
                <c:pt idx="69">
                  <c:v>0.94282586803849922</c:v>
                </c:pt>
                <c:pt idx="70">
                  <c:v>0.84652849448570588</c:v>
                </c:pt>
                <c:pt idx="71">
                  <c:v>0.7596912456725915</c:v>
                </c:pt>
                <c:pt idx="72">
                  <c:v>0.68144263835667107</c:v>
                </c:pt>
                <c:pt idx="73">
                  <c:v>0.61098271163201234</c:v>
                </c:pt>
                <c:pt idx="74">
                  <c:v>0.54757848948624954</c:v>
                </c:pt>
                <c:pt idx="75">
                  <c:v>0.49055951813050525</c:v>
                </c:pt>
                <c:pt idx="76">
                  <c:v>0.43931351827718895</c:v>
                </c:pt>
                <c:pt idx="77">
                  <c:v>0.39328218366842022</c:v>
                </c:pt>
                <c:pt idx="78">
                  <c:v>0.35195714945573298</c:v>
                </c:pt>
                <c:pt idx="79">
                  <c:v>0.31487614741416703</c:v>
                </c:pt>
                <c:pt idx="80">
                  <c:v>0.28161935934918014</c:v>
                </c:pt>
                <c:pt idx="81">
                  <c:v>0.25180597532805038</c:v>
                </c:pt>
                <c:pt idx="82">
                  <c:v>0.22509095944462529</c:v>
                </c:pt>
                <c:pt idx="83">
                  <c:v>0.20116202261609467</c:v>
                </c:pt>
                <c:pt idx="84">
                  <c:v>0.17973679932572437</c:v>
                </c:pt>
                <c:pt idx="85">
                  <c:v>0.16056022318547244</c:v>
                </c:pt>
                <c:pt idx="86">
                  <c:v>0.14340209462157763</c:v>
                </c:pt>
                <c:pt idx="87">
                  <c:v>0.12805483281671612</c:v>
                </c:pt>
                <c:pt idx="88">
                  <c:v>0.11433140321209652</c:v>
                </c:pt>
                <c:pt idx="89">
                  <c:v>0.10206341132735745</c:v>
                </c:pt>
                <c:pt idx="90">
                  <c:v>9.1099353346055775E-2</c:v>
                </c:pt>
                <c:pt idx="91">
                  <c:v>8.130301379764597E-2</c:v>
                </c:pt>
                <c:pt idx="92">
                  <c:v>7.2552000705649239E-2</c:v>
                </c:pt>
                <c:pt idx="93">
                  <c:v>6.4736408734033454E-2</c:v>
                </c:pt>
                <c:pt idx="94">
                  <c:v>5.7757601122394815E-2</c:v>
                </c:pt>
                <c:pt idx="95">
                  <c:v>5.1527101531631793E-2</c:v>
                </c:pt>
                <c:pt idx="96">
                  <c:v>4.5965587306003267E-2</c:v>
                </c:pt>
                <c:pt idx="97">
                  <c:v>4.1001976078178751E-2</c:v>
                </c:pt>
                <c:pt idx="98">
                  <c:v>3.6572598087539071E-2</c:v>
                </c:pt>
                <c:pt idx="99">
                  <c:v>3.2620447037537921E-2</c:v>
                </c:pt>
                <c:pt idx="100">
                  <c:v>2.9094502776297437E-2</c:v>
                </c:pt>
                <c:pt idx="101">
                  <c:v>2.5949119538821067E-2</c:v>
                </c:pt>
                <c:pt idx="102">
                  <c:v>2.3143473933521282E-2</c:v>
                </c:pt>
                <c:pt idx="103">
                  <c:v>2.0641067286087125E-2</c:v>
                </c:pt>
                <c:pt idx="104">
                  <c:v>1.840927736682374E-2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0B-4B2B-8A7B-C4A7A90A6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175936"/>
        <c:axId val="371176896"/>
      </c:scatterChart>
      <c:scatterChart>
        <c:scatterStyle val="lineMarker"/>
        <c:varyColors val="0"/>
        <c:ser>
          <c:idx val="2"/>
          <c:order val="2"/>
          <c:tx>
            <c:strRef>
              <c:f>Analysis!$F$50</c:f>
              <c:strCache>
                <c:ptCount val="1"/>
                <c:pt idx="0">
                  <c:v>Convergence avec Black-Scholes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Analysis!$C$51:$C$155</c:f>
              <c:numCache>
                <c:formatCode>General</c:formatCode>
                <c:ptCount val="105"/>
                <c:pt idx="0">
                  <c:v>39</c:v>
                </c:pt>
                <c:pt idx="1">
                  <c:v>41</c:v>
                </c:pt>
                <c:pt idx="2">
                  <c:v>43</c:v>
                </c:pt>
                <c:pt idx="3">
                  <c:v>45</c:v>
                </c:pt>
                <c:pt idx="4">
                  <c:v>47</c:v>
                </c:pt>
                <c:pt idx="5">
                  <c:v>49</c:v>
                </c:pt>
                <c:pt idx="6">
                  <c:v>51</c:v>
                </c:pt>
                <c:pt idx="7">
                  <c:v>53</c:v>
                </c:pt>
                <c:pt idx="8">
                  <c:v>55</c:v>
                </c:pt>
                <c:pt idx="9">
                  <c:v>57</c:v>
                </c:pt>
                <c:pt idx="10">
                  <c:v>59</c:v>
                </c:pt>
                <c:pt idx="11">
                  <c:v>61</c:v>
                </c:pt>
                <c:pt idx="12">
                  <c:v>63</c:v>
                </c:pt>
                <c:pt idx="13">
                  <c:v>65</c:v>
                </c:pt>
                <c:pt idx="14">
                  <c:v>67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79</c:v>
                </c:pt>
                <c:pt idx="21">
                  <c:v>81</c:v>
                </c:pt>
                <c:pt idx="22">
                  <c:v>83</c:v>
                </c:pt>
                <c:pt idx="23">
                  <c:v>85</c:v>
                </c:pt>
                <c:pt idx="24">
                  <c:v>87</c:v>
                </c:pt>
                <c:pt idx="25">
                  <c:v>89</c:v>
                </c:pt>
                <c:pt idx="26">
                  <c:v>91</c:v>
                </c:pt>
                <c:pt idx="27">
                  <c:v>91.5</c:v>
                </c:pt>
                <c:pt idx="28">
                  <c:v>92</c:v>
                </c:pt>
                <c:pt idx="29">
                  <c:v>92.5</c:v>
                </c:pt>
                <c:pt idx="30">
                  <c:v>93</c:v>
                </c:pt>
                <c:pt idx="31">
                  <c:v>93.5</c:v>
                </c:pt>
                <c:pt idx="32">
                  <c:v>94</c:v>
                </c:pt>
                <c:pt idx="33">
                  <c:v>94.5</c:v>
                </c:pt>
                <c:pt idx="34">
                  <c:v>95</c:v>
                </c:pt>
                <c:pt idx="35">
                  <c:v>95.5</c:v>
                </c:pt>
                <c:pt idx="36">
                  <c:v>96</c:v>
                </c:pt>
                <c:pt idx="37">
                  <c:v>96.5</c:v>
                </c:pt>
                <c:pt idx="38">
                  <c:v>97</c:v>
                </c:pt>
                <c:pt idx="39">
                  <c:v>97.5</c:v>
                </c:pt>
                <c:pt idx="40">
                  <c:v>98</c:v>
                </c:pt>
                <c:pt idx="41">
                  <c:v>98.5</c:v>
                </c:pt>
                <c:pt idx="42">
                  <c:v>99</c:v>
                </c:pt>
                <c:pt idx="43">
                  <c:v>99.5</c:v>
                </c:pt>
                <c:pt idx="44">
                  <c:v>101</c:v>
                </c:pt>
                <c:pt idx="45">
                  <c:v>103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111</c:v>
                </c:pt>
                <c:pt idx="50">
                  <c:v>113</c:v>
                </c:pt>
                <c:pt idx="51">
                  <c:v>115</c:v>
                </c:pt>
                <c:pt idx="52">
                  <c:v>117</c:v>
                </c:pt>
                <c:pt idx="53">
                  <c:v>119</c:v>
                </c:pt>
                <c:pt idx="54">
                  <c:v>121</c:v>
                </c:pt>
                <c:pt idx="55">
                  <c:v>123</c:v>
                </c:pt>
                <c:pt idx="56">
                  <c:v>125</c:v>
                </c:pt>
                <c:pt idx="57">
                  <c:v>127</c:v>
                </c:pt>
                <c:pt idx="58">
                  <c:v>129</c:v>
                </c:pt>
                <c:pt idx="59">
                  <c:v>131</c:v>
                </c:pt>
                <c:pt idx="60">
                  <c:v>133</c:v>
                </c:pt>
                <c:pt idx="61">
                  <c:v>135</c:v>
                </c:pt>
                <c:pt idx="62">
                  <c:v>137</c:v>
                </c:pt>
                <c:pt idx="63">
                  <c:v>139</c:v>
                </c:pt>
                <c:pt idx="64">
                  <c:v>141</c:v>
                </c:pt>
                <c:pt idx="65">
                  <c:v>143</c:v>
                </c:pt>
                <c:pt idx="66">
                  <c:v>145</c:v>
                </c:pt>
                <c:pt idx="67">
                  <c:v>147</c:v>
                </c:pt>
                <c:pt idx="68">
                  <c:v>149</c:v>
                </c:pt>
                <c:pt idx="69">
                  <c:v>151</c:v>
                </c:pt>
                <c:pt idx="70">
                  <c:v>153</c:v>
                </c:pt>
                <c:pt idx="71">
                  <c:v>155</c:v>
                </c:pt>
                <c:pt idx="72">
                  <c:v>157</c:v>
                </c:pt>
                <c:pt idx="73">
                  <c:v>159</c:v>
                </c:pt>
                <c:pt idx="74">
                  <c:v>161</c:v>
                </c:pt>
                <c:pt idx="75">
                  <c:v>163</c:v>
                </c:pt>
                <c:pt idx="76">
                  <c:v>165</c:v>
                </c:pt>
                <c:pt idx="77">
                  <c:v>167</c:v>
                </c:pt>
                <c:pt idx="78">
                  <c:v>169</c:v>
                </c:pt>
                <c:pt idx="79">
                  <c:v>171</c:v>
                </c:pt>
                <c:pt idx="80">
                  <c:v>173</c:v>
                </c:pt>
                <c:pt idx="81">
                  <c:v>175</c:v>
                </c:pt>
                <c:pt idx="82">
                  <c:v>177</c:v>
                </c:pt>
                <c:pt idx="83">
                  <c:v>179</c:v>
                </c:pt>
                <c:pt idx="84">
                  <c:v>181</c:v>
                </c:pt>
                <c:pt idx="85">
                  <c:v>183</c:v>
                </c:pt>
                <c:pt idx="86">
                  <c:v>185</c:v>
                </c:pt>
                <c:pt idx="87">
                  <c:v>187</c:v>
                </c:pt>
                <c:pt idx="88">
                  <c:v>189</c:v>
                </c:pt>
                <c:pt idx="89">
                  <c:v>191</c:v>
                </c:pt>
                <c:pt idx="90">
                  <c:v>193</c:v>
                </c:pt>
                <c:pt idx="91">
                  <c:v>195</c:v>
                </c:pt>
                <c:pt idx="92">
                  <c:v>197</c:v>
                </c:pt>
                <c:pt idx="93">
                  <c:v>199</c:v>
                </c:pt>
                <c:pt idx="94">
                  <c:v>201</c:v>
                </c:pt>
                <c:pt idx="95">
                  <c:v>203</c:v>
                </c:pt>
                <c:pt idx="96">
                  <c:v>205</c:v>
                </c:pt>
                <c:pt idx="97">
                  <c:v>207</c:v>
                </c:pt>
                <c:pt idx="98">
                  <c:v>209</c:v>
                </c:pt>
                <c:pt idx="99">
                  <c:v>211</c:v>
                </c:pt>
                <c:pt idx="100">
                  <c:v>213</c:v>
                </c:pt>
                <c:pt idx="101">
                  <c:v>215</c:v>
                </c:pt>
                <c:pt idx="102">
                  <c:v>217</c:v>
                </c:pt>
                <c:pt idx="103">
                  <c:v>219</c:v>
                </c:pt>
                <c:pt idx="104">
                  <c:v>221</c:v>
                </c:pt>
              </c:numCache>
            </c:numRef>
          </c:xVal>
          <c:yVal>
            <c:numRef>
              <c:f>Analysis!$F$51:$F$155</c:f>
              <c:numCache>
                <c:formatCode>General</c:formatCode>
                <c:ptCount val="105"/>
                <c:pt idx="0">
                  <c:v>4.0526902679971499E-5</c:v>
                </c:pt>
                <c:pt idx="1">
                  <c:v>-1.8598654307311335E-4</c:v>
                </c:pt>
                <c:pt idx="2">
                  <c:v>-4.1676417014002709E-4</c:v>
                </c:pt>
                <c:pt idx="3">
                  <c:v>5.8545692293421325E-4</c:v>
                </c:pt>
                <c:pt idx="4">
                  <c:v>-1.6578261778477099E-4</c:v>
                </c:pt>
                <c:pt idx="5">
                  <c:v>-3.5964099732055388E-3</c:v>
                </c:pt>
                <c:pt idx="6">
                  <c:v>2.0793534560965554E-3</c:v>
                </c:pt>
                <c:pt idx="7">
                  <c:v>3.7233536865528549E-3</c:v>
                </c:pt>
                <c:pt idx="8">
                  <c:v>-2.1631279021860905E-3</c:v>
                </c:pt>
                <c:pt idx="9">
                  <c:v>-1.4904256259953286E-2</c:v>
                </c:pt>
                <c:pt idx="10">
                  <c:v>8.4111812253269136E-3</c:v>
                </c:pt>
                <c:pt idx="11">
                  <c:v>1.5778835443477135E-2</c:v>
                </c:pt>
                <c:pt idx="12">
                  <c:v>3.6665866103930966E-3</c:v>
                </c:pt>
                <c:pt idx="13">
                  <c:v>-3.1734697041336801E-2</c:v>
                </c:pt>
                <c:pt idx="14">
                  <c:v>-8.8587270685920316E-3</c:v>
                </c:pt>
                <c:pt idx="15">
                  <c:v>3.4264388030699422E-2</c:v>
                </c:pt>
                <c:pt idx="16">
                  <c:v>4.179990969463887E-2</c:v>
                </c:pt>
                <c:pt idx="17">
                  <c:v>9.6536434636966817E-3</c:v>
                </c:pt>
                <c:pt idx="18">
                  <c:v>-6.6117316887499555E-2</c:v>
                </c:pt>
                <c:pt idx="19">
                  <c:v>-5.5370242771566325E-2</c:v>
                </c:pt>
                <c:pt idx="20">
                  <c:v>4.0833953307352289E-2</c:v>
                </c:pt>
                <c:pt idx="21">
                  <c:v>8.3256398631167627E-2</c:v>
                </c:pt>
                <c:pt idx="22">
                  <c:v>6.926790088116519E-2</c:v>
                </c:pt>
                <c:pt idx="23">
                  <c:v>-3.315108756346774E-3</c:v>
                </c:pt>
                <c:pt idx="24">
                  <c:v>-0.13621019719945338</c:v>
                </c:pt>
                <c:pt idx="25">
                  <c:v>-0.10642407766219364</c:v>
                </c:pt>
                <c:pt idx="26">
                  <c:v>3.1564634633742372E-2</c:v>
                </c:pt>
                <c:pt idx="27">
                  <c:v>7.7068556722602821E-2</c:v>
                </c:pt>
                <c:pt idx="28">
                  <c:v>7.7068556722602821E-2</c:v>
                </c:pt>
                <c:pt idx="29">
                  <c:v>7.7068556722602821E-2</c:v>
                </c:pt>
                <c:pt idx="30">
                  <c:v>0.10690511391604041</c:v>
                </c:pt>
                <c:pt idx="31">
                  <c:v>0.12110202749687282</c:v>
                </c:pt>
                <c:pt idx="32">
                  <c:v>0.12110202749687282</c:v>
                </c:pt>
                <c:pt idx="33">
                  <c:v>0.12110202749687282</c:v>
                </c:pt>
                <c:pt idx="34">
                  <c:v>0.11971228870133466</c:v>
                </c:pt>
                <c:pt idx="35">
                  <c:v>0.10281310104374697</c:v>
                </c:pt>
                <c:pt idx="36">
                  <c:v>0.10281310104374697</c:v>
                </c:pt>
                <c:pt idx="37">
                  <c:v>0.10281310104374697</c:v>
                </c:pt>
                <c:pt idx="38">
                  <c:v>7.0504753747831828E-2</c:v>
                </c:pt>
                <c:pt idx="39">
                  <c:v>2.2909438556322215E-2</c:v>
                </c:pt>
                <c:pt idx="40">
                  <c:v>2.2909438556322215E-2</c:v>
                </c:pt>
                <c:pt idx="41">
                  <c:v>2.2909438556322215E-2</c:v>
                </c:pt>
                <c:pt idx="42">
                  <c:v>-3.9829978322737603E-2</c:v>
                </c:pt>
                <c:pt idx="43">
                  <c:v>-0.11755121796063506</c:v>
                </c:pt>
                <c:pt idx="44">
                  <c:v>-0.21007387361603236</c:v>
                </c:pt>
                <c:pt idx="45">
                  <c:v>-0.13291253797004643</c:v>
                </c:pt>
                <c:pt idx="46">
                  <c:v>9.0017048656676479E-3</c:v>
                </c:pt>
                <c:pt idx="47">
                  <c:v>9.6234860698206859E-2</c:v>
                </c:pt>
                <c:pt idx="48">
                  <c:v>0.13091774553749413</c:v>
                </c:pt>
                <c:pt idx="49">
                  <c:v>0.115310152354545</c:v>
                </c:pt>
                <c:pt idx="50">
                  <c:v>5.1765149380901931E-2</c:v>
                </c:pt>
                <c:pt idx="51">
                  <c:v>-5.7303746568743819E-2</c:v>
                </c:pt>
                <c:pt idx="52">
                  <c:v>-0.20945226255422256</c:v>
                </c:pt>
                <c:pt idx="53">
                  <c:v>-0.13077331542110393</c:v>
                </c:pt>
                <c:pt idx="54">
                  <c:v>-2.0249670673361919E-2</c:v>
                </c:pt>
                <c:pt idx="55">
                  <c:v>5.4463898932548549E-2</c:v>
                </c:pt>
                <c:pt idx="56">
                  <c:v>9.570307368318387E-2</c:v>
                </c:pt>
                <c:pt idx="57">
                  <c:v>0.1057342581531211</c:v>
                </c:pt>
                <c:pt idx="58">
                  <c:v>8.6743487036775591E-2</c:v>
                </c:pt>
                <c:pt idx="59">
                  <c:v>4.082782955127362E-2</c:v>
                </c:pt>
                <c:pt idx="60">
                  <c:v>-3.0010953624104442E-2</c:v>
                </c:pt>
                <c:pt idx="61">
                  <c:v>-0.1238707505868164</c:v>
                </c:pt>
                <c:pt idx="62">
                  <c:v>-0.10991604953318124</c:v>
                </c:pt>
                <c:pt idx="63">
                  <c:v>-4.2428998376975668E-2</c:v>
                </c:pt>
                <c:pt idx="64">
                  <c:v>7.1270126859928062E-3</c:v>
                </c:pt>
                <c:pt idx="65">
                  <c:v>4.0243740372996051E-2</c:v>
                </c:pt>
                <c:pt idx="66">
                  <c:v>5.8313390298087686E-2</c:v>
                </c:pt>
                <c:pt idx="67">
                  <c:v>6.2631539639246503E-2</c:v>
                </c:pt>
                <c:pt idx="68">
                  <c:v>5.4400621776726332E-2</c:v>
                </c:pt>
                <c:pt idx="69">
                  <c:v>3.4733835196040563E-2</c:v>
                </c:pt>
                <c:pt idx="70">
                  <c:v>4.6593563706235352E-3</c:v>
                </c:pt>
                <c:pt idx="71">
                  <c:v>-3.4875247194472436E-2</c:v>
                </c:pt>
                <c:pt idx="72">
                  <c:v>-7.8203969375352678E-2</c:v>
                </c:pt>
                <c:pt idx="73">
                  <c:v>-4.5260032335585509E-2</c:v>
                </c:pt>
                <c:pt idx="74">
                  <c:v>-1.9371799874714268E-2</c:v>
                </c:pt>
                <c:pt idx="75">
                  <c:v>1.3118179613841319E-4</c:v>
                </c:pt>
                <c:pt idx="76">
                  <c:v>1.3861191964563147E-2</c:v>
                </c:pt>
                <c:pt idx="77">
                  <c:v>2.2376536888440324E-2</c:v>
                </c:pt>
                <c:pt idx="78">
                  <c:v>2.6185581416235948E-2</c:v>
                </c:pt>
                <c:pt idx="79">
                  <c:v>2.5750593772910391E-2</c:v>
                </c:pt>
                <c:pt idx="80">
                  <c:v>2.1491392153005773E-2</c:v>
                </c:pt>
                <c:pt idx="81">
                  <c:v>1.378878648924392E-2</c:v>
                </c:pt>
                <c:pt idx="82">
                  <c:v>2.9878126877774525E-3</c:v>
                </c:pt>
                <c:pt idx="83">
                  <c:v>-1.0599240168583518E-2</c:v>
                </c:pt>
                <c:pt idx="84">
                  <c:v>-2.6690006563104746E-2</c:v>
                </c:pt>
                <c:pt idx="85">
                  <c:v>-2.1241231692889467E-2</c:v>
                </c:pt>
                <c:pt idx="86">
                  <c:v>-1.2536663042796242E-2</c:v>
                </c:pt>
                <c:pt idx="87">
                  <c:v>-5.642961151736306E-3</c:v>
                </c:pt>
                <c:pt idx="88">
                  <c:v>-3.7309146091829559E-4</c:v>
                </c:pt>
                <c:pt idx="89">
                  <c:v>3.4413405100191669E-3</c:v>
                </c:pt>
                <c:pt idx="90">
                  <c:v>5.951838577519214E-3</c:v>
                </c:pt>
                <c:pt idx="91">
                  <c:v>7.2946182121274294E-3</c:v>
                </c:pt>
                <c:pt idx="92">
                  <c:v>7.5920713903225856E-3</c:v>
                </c:pt>
                <c:pt idx="93">
                  <c:v>6.9541034481367808E-3</c:v>
                </c:pt>
                <c:pt idx="94">
                  <c:v>5.4793511459738167E-3</c:v>
                </c:pt>
                <c:pt idx="95">
                  <c:v>3.2562908229352358E-3</c:v>
                </c:pt>
                <c:pt idx="96">
                  <c:v>3.642451347621728E-4</c:v>
                </c:pt>
                <c:pt idx="97">
                  <c:v>-3.1257035512149214E-3</c:v>
                </c:pt>
                <c:pt idx="98">
                  <c:v>-7.1498854743768207E-3</c:v>
                </c:pt>
                <c:pt idx="99">
                  <c:v>-6.9024682630560615E-3</c:v>
                </c:pt>
                <c:pt idx="100">
                  <c:v>-4.7915353275424198E-3</c:v>
                </c:pt>
                <c:pt idx="101">
                  <c:v>-3.0611634157928953E-3</c:v>
                </c:pt>
                <c:pt idx="102">
                  <c:v>-1.6705291362199559E-3</c:v>
                </c:pt>
                <c:pt idx="103">
                  <c:v>-5.831338145126444E-4</c:v>
                </c:pt>
                <c:pt idx="104">
                  <c:v>2.3364477902389907E-4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0B-4B2B-8A7B-C4A7A90A6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173056"/>
        <c:axId val="371182176"/>
      </c:scatterChart>
      <c:valAx>
        <c:axId val="371175936"/>
        <c:scaling>
          <c:orientation val="minMax"/>
          <c:max val="23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1176896"/>
        <c:crosses val="autoZero"/>
        <c:crossBetween val="midCat"/>
      </c:valAx>
      <c:valAx>
        <c:axId val="37117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1175936"/>
        <c:crosses val="autoZero"/>
        <c:crossBetween val="midCat"/>
      </c:valAx>
      <c:valAx>
        <c:axId val="371182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1173056"/>
        <c:crosses val="max"/>
        <c:crossBetween val="midCat"/>
      </c:valAx>
      <c:valAx>
        <c:axId val="371173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118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(Tree - BS)</a:t>
            </a:r>
            <a:r>
              <a:rPr lang="fr-FR" baseline="0"/>
              <a:t> x NbSteps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Analysis!$F$18</c:f>
              <c:strCache>
                <c:ptCount val="1"/>
                <c:pt idx="0">
                  <c:v>Convergence avec Black-Scholes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Analysis!$C$19:$C$47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120</c:v>
                </c:pt>
                <c:pt idx="12">
                  <c:v>140</c:v>
                </c:pt>
                <c:pt idx="13">
                  <c:v>160</c:v>
                </c:pt>
                <c:pt idx="14">
                  <c:v>180</c:v>
                </c:pt>
                <c:pt idx="15">
                  <c:v>200</c:v>
                </c:pt>
                <c:pt idx="16">
                  <c:v>220</c:v>
                </c:pt>
                <c:pt idx="17">
                  <c:v>240</c:v>
                </c:pt>
                <c:pt idx="18">
                  <c:v>260</c:v>
                </c:pt>
                <c:pt idx="19">
                  <c:v>280</c:v>
                </c:pt>
                <c:pt idx="20">
                  <c:v>300</c:v>
                </c:pt>
                <c:pt idx="21">
                  <c:v>320</c:v>
                </c:pt>
                <c:pt idx="22">
                  <c:v>340</c:v>
                </c:pt>
                <c:pt idx="23">
                  <c:v>360</c:v>
                </c:pt>
                <c:pt idx="24">
                  <c:v>380</c:v>
                </c:pt>
                <c:pt idx="25">
                  <c:v>400</c:v>
                </c:pt>
                <c:pt idx="26">
                  <c:v>450</c:v>
                </c:pt>
                <c:pt idx="27">
                  <c:v>500</c:v>
                </c:pt>
                <c:pt idx="28">
                  <c:v>550</c:v>
                </c:pt>
              </c:numCache>
            </c:numRef>
          </c:xVal>
          <c:yVal>
            <c:numRef>
              <c:f>Analysis!$F$19:$F$47</c:f>
              <c:numCache>
                <c:formatCode>General</c:formatCode>
                <c:ptCount val="29"/>
                <c:pt idx="0">
                  <c:v>7.1755010267551267E-2</c:v>
                </c:pt>
                <c:pt idx="1">
                  <c:v>7.9701060238899224E-2</c:v>
                </c:pt>
                <c:pt idx="2">
                  <c:v>-1.7037879822772162E-2</c:v>
                </c:pt>
                <c:pt idx="3">
                  <c:v>-0.16243546843148327</c:v>
                </c:pt>
                <c:pt idx="4">
                  <c:v>-3.4618560552512889E-2</c:v>
                </c:pt>
                <c:pt idx="5">
                  <c:v>4.0425333107241279E-2</c:v>
                </c:pt>
                <c:pt idx="6">
                  <c:v>7.6545182370919562E-2</c:v>
                </c:pt>
                <c:pt idx="7">
                  <c:v>8.2555420155867587E-2</c:v>
                </c:pt>
                <c:pt idx="8">
                  <c:v>6.4425038792617073E-2</c:v>
                </c:pt>
                <c:pt idx="9">
                  <c:v>2.640129814006853E-2</c:v>
                </c:pt>
                <c:pt idx="10">
                  <c:v>-2.8372915898322582E-2</c:v>
                </c:pt>
                <c:pt idx="11">
                  <c:v>-0.15576695507137472</c:v>
                </c:pt>
                <c:pt idx="12">
                  <c:v>-2.5343745291337427E-2</c:v>
                </c:pt>
                <c:pt idx="13">
                  <c:v>5.0839784555627432E-2</c:v>
                </c:pt>
                <c:pt idx="14">
                  <c:v>8.186826591173979E-2</c:v>
                </c:pt>
                <c:pt idx="15">
                  <c:v>7.460091238526978E-2</c:v>
                </c:pt>
                <c:pt idx="16">
                  <c:v>3.4350283081066024E-2</c:v>
                </c:pt>
                <c:pt idx="17">
                  <c:v>-3.4677734451342701E-2</c:v>
                </c:pt>
                <c:pt idx="18">
                  <c:v>-0.12909016780136451</c:v>
                </c:pt>
                <c:pt idx="19">
                  <c:v>-9.9962044862795807E-2</c:v>
                </c:pt>
                <c:pt idx="20">
                  <c:v>-1.9714683879534789E-2</c:v>
                </c:pt>
                <c:pt idx="21">
                  <c:v>3.6212055237143659E-2</c:v>
                </c:pt>
                <c:pt idx="22">
                  <c:v>6.9881906766133817E-2</c:v>
                </c:pt>
                <c:pt idx="23">
                  <c:v>8.3090164117436416E-2</c:v>
                </c:pt>
                <c:pt idx="24">
                  <c:v>7.7408809129613232E-2</c:v>
                </c:pt>
                <c:pt idx="25">
                  <c:v>5.4222626120026263E-2</c:v>
                </c:pt>
                <c:pt idx="26">
                  <c:v>-7.2602233365148816E-2</c:v>
                </c:pt>
                <c:pt idx="27">
                  <c:v>-7.2435291038730476E-2</c:v>
                </c:pt>
                <c:pt idx="28">
                  <c:v>4.5336658303296584E-2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E-43F0-99DC-E53EDBE94312}"/>
            </c:ext>
          </c:extLst>
        </c:ser>
        <c:ser>
          <c:idx val="1"/>
          <c:order val="1"/>
          <c:tx>
            <c:strRef>
              <c:f>Analysis!$G$18</c:f>
              <c:strCache>
                <c:ptCount val="1"/>
                <c:pt idx="0">
                  <c:v>Time Gap avec Black-Scholes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Analysis!$C$19:$C$47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120</c:v>
                </c:pt>
                <c:pt idx="12">
                  <c:v>140</c:v>
                </c:pt>
                <c:pt idx="13">
                  <c:v>160</c:v>
                </c:pt>
                <c:pt idx="14">
                  <c:v>180</c:v>
                </c:pt>
                <c:pt idx="15">
                  <c:v>200</c:v>
                </c:pt>
                <c:pt idx="16">
                  <c:v>220</c:v>
                </c:pt>
                <c:pt idx="17">
                  <c:v>240</c:v>
                </c:pt>
                <c:pt idx="18">
                  <c:v>260</c:v>
                </c:pt>
                <c:pt idx="19">
                  <c:v>280</c:v>
                </c:pt>
                <c:pt idx="20">
                  <c:v>300</c:v>
                </c:pt>
                <c:pt idx="21">
                  <c:v>320</c:v>
                </c:pt>
                <c:pt idx="22">
                  <c:v>340</c:v>
                </c:pt>
                <c:pt idx="23">
                  <c:v>360</c:v>
                </c:pt>
                <c:pt idx="24">
                  <c:v>380</c:v>
                </c:pt>
                <c:pt idx="25">
                  <c:v>400</c:v>
                </c:pt>
                <c:pt idx="26">
                  <c:v>450</c:v>
                </c:pt>
                <c:pt idx="27">
                  <c:v>500</c:v>
                </c:pt>
                <c:pt idx="28">
                  <c:v>550</c:v>
                </c:pt>
              </c:numCache>
            </c:numRef>
          </c:xVal>
          <c:yVal>
            <c:numRef>
              <c:f>Analysis!$G$19:$G$47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0</c:v>
                </c:pt>
                <c:pt idx="7">
                  <c:v>1.5625E-2</c:v>
                </c:pt>
                <c:pt idx="8">
                  <c:v>0</c:v>
                </c:pt>
                <c:pt idx="9">
                  <c:v>1.5625E-2</c:v>
                </c:pt>
                <c:pt idx="10">
                  <c:v>0</c:v>
                </c:pt>
                <c:pt idx="11">
                  <c:v>2.34375E-2</c:v>
                </c:pt>
                <c:pt idx="12">
                  <c:v>1.5625E-2</c:v>
                </c:pt>
                <c:pt idx="13">
                  <c:v>1.5625E-2</c:v>
                </c:pt>
                <c:pt idx="14">
                  <c:v>3.125E-2</c:v>
                </c:pt>
                <c:pt idx="15">
                  <c:v>1.5625E-2</c:v>
                </c:pt>
                <c:pt idx="16">
                  <c:v>1.5625E-2</c:v>
                </c:pt>
                <c:pt idx="17">
                  <c:v>1.5625E-2</c:v>
                </c:pt>
                <c:pt idx="18">
                  <c:v>3.125E-2</c:v>
                </c:pt>
                <c:pt idx="19">
                  <c:v>1.5625E-2</c:v>
                </c:pt>
                <c:pt idx="20">
                  <c:v>3.125E-2</c:v>
                </c:pt>
                <c:pt idx="21">
                  <c:v>3.125E-2</c:v>
                </c:pt>
                <c:pt idx="22">
                  <c:v>2.34375E-2</c:v>
                </c:pt>
                <c:pt idx="23">
                  <c:v>3.125E-2</c:v>
                </c:pt>
                <c:pt idx="24">
                  <c:v>3.90625E-2</c:v>
                </c:pt>
                <c:pt idx="25">
                  <c:v>3.125E-2</c:v>
                </c:pt>
                <c:pt idx="26">
                  <c:v>3.125E-2</c:v>
                </c:pt>
                <c:pt idx="27">
                  <c:v>6.25E-2</c:v>
                </c:pt>
                <c:pt idx="28">
                  <c:v>6.25E-2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E-43F0-99DC-E53EDBE94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07183"/>
        <c:axId val="221280783"/>
      </c:scatterChart>
      <c:valAx>
        <c:axId val="221307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1280783"/>
        <c:crosses val="autoZero"/>
        <c:crossBetween val="midCat"/>
      </c:valAx>
      <c:valAx>
        <c:axId val="22128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1307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5177</xdr:colOff>
      <xdr:row>16</xdr:row>
      <xdr:rowOff>10134</xdr:rowOff>
    </xdr:from>
    <xdr:to>
      <xdr:col>7</xdr:col>
      <xdr:colOff>752839</xdr:colOff>
      <xdr:row>22</xdr:row>
      <xdr:rowOff>172261</xdr:rowOff>
    </xdr:to>
    <xdr:sp macro="[0]!Main.main" textlink="">
      <xdr:nvSpPr>
        <xdr:cNvPr id="2" name="Rectangle 1">
          <a:extLst>
            <a:ext uri="{FF2B5EF4-FFF2-40B4-BE49-F238E27FC236}">
              <a16:creationId xmlns:a16="http://schemas.microsoft.com/office/drawing/2014/main" id="{ADA7713D-4A72-BD48-7485-910048201F10}"/>
            </a:ext>
          </a:extLst>
        </xdr:cNvPr>
        <xdr:cNvSpPr/>
      </xdr:nvSpPr>
      <xdr:spPr>
        <a:xfrm>
          <a:off x="4210363" y="1849270"/>
          <a:ext cx="2353740" cy="1271688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 b="1"/>
        </a:p>
        <a:p>
          <a:pPr algn="ctr"/>
          <a:endParaRPr lang="fr-FR" sz="1100" b="1"/>
        </a:p>
        <a:p>
          <a:pPr algn="ctr"/>
          <a:endParaRPr lang="fr-FR" sz="1100" b="1"/>
        </a:p>
        <a:p>
          <a:pPr algn="ctr"/>
          <a:r>
            <a:rPr lang="fr-FR" sz="1100" b="1"/>
            <a:t>Click</a:t>
          </a:r>
          <a:r>
            <a:rPr lang="fr-FR" sz="1100" b="1" baseline="0"/>
            <a:t> Here To Price An Option</a:t>
          </a:r>
          <a:endParaRPr lang="fr-FR" sz="1100" b="1"/>
        </a:p>
      </xdr:txBody>
    </xdr:sp>
    <xdr:clientData/>
  </xdr:twoCellAnchor>
  <xdr:twoCellAnchor>
    <xdr:from>
      <xdr:col>15</xdr:col>
      <xdr:colOff>126503</xdr:colOff>
      <xdr:row>9</xdr:row>
      <xdr:rowOff>13077</xdr:rowOff>
    </xdr:from>
    <xdr:to>
      <xdr:col>17</xdr:col>
      <xdr:colOff>8186</xdr:colOff>
      <xdr:row>11</xdr:row>
      <xdr:rowOff>62011</xdr:rowOff>
    </xdr:to>
    <xdr:sp macro="[0]!GreeksCall" textlink="">
      <xdr:nvSpPr>
        <xdr:cNvPr id="3" name="Rectangle 2">
          <a:extLst>
            <a:ext uri="{FF2B5EF4-FFF2-40B4-BE49-F238E27FC236}">
              <a16:creationId xmlns:a16="http://schemas.microsoft.com/office/drawing/2014/main" id="{E13A9DCA-0C1B-4796-B03F-2DBC19510CED}"/>
            </a:ext>
          </a:extLst>
        </xdr:cNvPr>
        <xdr:cNvSpPr/>
      </xdr:nvSpPr>
      <xdr:spPr>
        <a:xfrm>
          <a:off x="13357323" y="1647706"/>
          <a:ext cx="1404691" cy="416044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Sensibilité</a:t>
          </a:r>
        </a:p>
      </xdr:txBody>
    </xdr:sp>
    <xdr:clientData/>
  </xdr:twoCellAnchor>
  <xdr:twoCellAnchor>
    <xdr:from>
      <xdr:col>15</xdr:col>
      <xdr:colOff>126504</xdr:colOff>
      <xdr:row>11</xdr:row>
      <xdr:rowOff>151308</xdr:rowOff>
    </xdr:from>
    <xdr:to>
      <xdr:col>16</xdr:col>
      <xdr:colOff>759019</xdr:colOff>
      <xdr:row>13</xdr:row>
      <xdr:rowOff>178585</xdr:rowOff>
    </xdr:to>
    <xdr:sp macro="[0]!ResultExplanation" textlink="">
      <xdr:nvSpPr>
        <xdr:cNvPr id="4" name="Rectangle 3">
          <a:extLst>
            <a:ext uri="{FF2B5EF4-FFF2-40B4-BE49-F238E27FC236}">
              <a16:creationId xmlns:a16="http://schemas.microsoft.com/office/drawing/2014/main" id="{EFC578DE-8877-4BB6-BA1F-0CCC3C96FD9B}"/>
            </a:ext>
          </a:extLst>
        </xdr:cNvPr>
        <xdr:cNvSpPr/>
      </xdr:nvSpPr>
      <xdr:spPr>
        <a:xfrm>
          <a:off x="13357324" y="2153047"/>
          <a:ext cx="1394019" cy="394386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MAJ Explication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344364</xdr:colOff>
      <xdr:row>8</xdr:row>
      <xdr:rowOff>41971</xdr:rowOff>
    </xdr:from>
    <xdr:to>
      <xdr:col>10</xdr:col>
      <xdr:colOff>359378</xdr:colOff>
      <xdr:row>14</xdr:row>
      <xdr:rowOff>92700</xdr:rowOff>
    </xdr:to>
    <xdr:sp macro="[0]!RunAnalysis" textlink="">
      <xdr:nvSpPr>
        <xdr:cNvPr id="2" name="Rectangle 1">
          <a:extLst>
            <a:ext uri="{FF2B5EF4-FFF2-40B4-BE49-F238E27FC236}">
              <a16:creationId xmlns:a16="http://schemas.microsoft.com/office/drawing/2014/main" id="{159C6FF2-F94B-396A-94BA-D29C1C08597F}"/>
            </a:ext>
          </a:extLst>
        </xdr:cNvPr>
        <xdr:cNvSpPr/>
      </xdr:nvSpPr>
      <xdr:spPr>
        <a:xfrm>
          <a:off x="10462846" y="1507356"/>
          <a:ext cx="2044570" cy="1149767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Run</a:t>
          </a:r>
          <a:r>
            <a:rPr lang="fr-FR" sz="1600" b="1" baseline="0"/>
            <a:t> Analysis On Steps</a:t>
          </a:r>
        </a:p>
      </xdr:txBody>
    </xdr:sp>
    <xdr:clientData/>
  </xdr:twoCellAnchor>
  <xdr:twoCellAnchor>
    <xdr:from>
      <xdr:col>6</xdr:col>
      <xdr:colOff>540998</xdr:colOff>
      <xdr:row>58</xdr:row>
      <xdr:rowOff>62850</xdr:rowOff>
    </xdr:from>
    <xdr:to>
      <xdr:col>13</xdr:col>
      <xdr:colOff>429559</xdr:colOff>
      <xdr:row>80</xdr:row>
      <xdr:rowOff>56029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7554281-C035-46C7-17F9-AEFFC502A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237364</xdr:colOff>
      <xdr:row>8</xdr:row>
      <xdr:rowOff>45717</xdr:rowOff>
    </xdr:from>
    <xdr:to>
      <xdr:col>14</xdr:col>
      <xdr:colOff>2370</xdr:colOff>
      <xdr:row>14</xdr:row>
      <xdr:rowOff>96446</xdr:rowOff>
    </xdr:to>
    <xdr:sp macro="[0]!RunAnalysisStrike" textlink="">
      <xdr:nvSpPr>
        <xdr:cNvPr id="4" name="Rectangle 3">
          <a:extLst>
            <a:ext uri="{FF2B5EF4-FFF2-40B4-BE49-F238E27FC236}">
              <a16:creationId xmlns:a16="http://schemas.microsoft.com/office/drawing/2014/main" id="{AD9DD585-FF5C-4235-89C5-0806E13241F9}"/>
            </a:ext>
          </a:extLst>
        </xdr:cNvPr>
        <xdr:cNvSpPr/>
      </xdr:nvSpPr>
      <xdr:spPr>
        <a:xfrm>
          <a:off x="13148241" y="1491053"/>
          <a:ext cx="2053849" cy="1145393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Run</a:t>
          </a:r>
          <a:r>
            <a:rPr lang="fr-FR" sz="1600" b="1" baseline="0"/>
            <a:t> Analysis On Strike </a:t>
          </a:r>
        </a:p>
        <a:p>
          <a:pPr algn="ctr"/>
          <a:r>
            <a:rPr lang="fr-FR" sz="1600" b="1" baseline="0"/>
            <a:t>for 10 Steps</a:t>
          </a:r>
        </a:p>
      </xdr:txBody>
    </xdr:sp>
    <xdr:clientData/>
  </xdr:twoCellAnchor>
  <xdr:twoCellAnchor>
    <xdr:from>
      <xdr:col>7</xdr:col>
      <xdr:colOff>742582</xdr:colOff>
      <xdr:row>26</xdr:row>
      <xdr:rowOff>26293</xdr:rowOff>
    </xdr:from>
    <xdr:to>
      <xdr:col>13</xdr:col>
      <xdr:colOff>95147</xdr:colOff>
      <xdr:row>41</xdr:row>
      <xdr:rowOff>47413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A3A9EDBC-002E-6B5C-126C-643016E6FB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701CC-50BE-481B-9206-D52A5F521CBE}">
  <sheetPr codeName="Feuil1"/>
  <dimension ref="C3:Q36"/>
  <sheetViews>
    <sheetView tabSelected="1" zoomScale="50" zoomScaleNormal="55" zoomScalePageLayoutView="38" workbookViewId="0">
      <selection activeCell="T42" sqref="T42"/>
    </sheetView>
  </sheetViews>
  <sheetFormatPr baseColWidth="10" defaultRowHeight="14.25" x14ac:dyDescent="0.45"/>
  <cols>
    <col min="1" max="2" width="10.6640625" style="41"/>
    <col min="3" max="3" width="14" style="41" bestFit="1" customWidth="1"/>
    <col min="4" max="4" width="13" style="41" customWidth="1"/>
    <col min="5" max="5" width="10.6640625" style="41"/>
    <col min="6" max="6" width="11.86328125" style="41" bestFit="1" customWidth="1"/>
    <col min="7" max="7" width="16.86328125" style="41" bestFit="1" customWidth="1"/>
    <col min="8" max="8" width="10.73046875" style="41" bestFit="1" customWidth="1"/>
    <col min="9" max="10" width="10.6640625" style="41"/>
    <col min="11" max="11" width="13.19921875" style="41" bestFit="1" customWidth="1"/>
    <col min="12" max="12" width="14.9296875" style="41" bestFit="1" customWidth="1"/>
    <col min="13" max="13" width="12.46484375" style="41" bestFit="1" customWidth="1"/>
    <col min="14" max="14" width="13.06640625" style="41" bestFit="1" customWidth="1"/>
    <col min="15" max="15" width="11.796875" style="41" bestFit="1" customWidth="1"/>
    <col min="16" max="16384" width="10.6640625" style="41"/>
  </cols>
  <sheetData>
    <row r="3" spans="3:17" x14ac:dyDescent="0.45">
      <c r="C3" s="70" t="s">
        <v>16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</row>
    <row r="4" spans="3:17" x14ac:dyDescent="0.45"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</row>
    <row r="5" spans="3:17" x14ac:dyDescent="0.45"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</row>
    <row r="6" spans="3:17" x14ac:dyDescent="0.45"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</row>
    <row r="9" spans="3:17" ht="14.65" thickBot="1" x14ac:dyDescent="0.5"/>
    <row r="10" spans="3:17" ht="14.65" thickBot="1" x14ac:dyDescent="0.5">
      <c r="C10" s="71" t="s">
        <v>0</v>
      </c>
      <c r="D10" s="73"/>
      <c r="F10" s="74" t="s">
        <v>21</v>
      </c>
      <c r="G10" s="75"/>
      <c r="H10" s="76"/>
      <c r="J10" s="71" t="s">
        <v>23</v>
      </c>
      <c r="K10" s="75"/>
      <c r="L10" s="75"/>
      <c r="M10" s="75"/>
      <c r="N10" s="75"/>
      <c r="O10" s="76"/>
    </row>
    <row r="11" spans="3:17" x14ac:dyDescent="0.45">
      <c r="C11" s="1" t="s">
        <v>1</v>
      </c>
      <c r="D11" s="2">
        <v>100</v>
      </c>
      <c r="F11" s="22"/>
      <c r="G11" s="15" t="s">
        <v>11</v>
      </c>
      <c r="H11" s="23" t="s">
        <v>29</v>
      </c>
      <c r="J11" s="79" t="s">
        <v>60</v>
      </c>
      <c r="K11" s="48" t="s">
        <v>24</v>
      </c>
      <c r="L11" s="49" t="s">
        <v>25</v>
      </c>
      <c r="M11" s="50" t="s">
        <v>26</v>
      </c>
      <c r="N11" s="49" t="s">
        <v>27</v>
      </c>
      <c r="O11" s="51" t="s">
        <v>28</v>
      </c>
    </row>
    <row r="12" spans="3:17" ht="14.65" thickBot="1" x14ac:dyDescent="0.5">
      <c r="C12" s="1" t="s">
        <v>2</v>
      </c>
      <c r="D12" s="3">
        <v>0.02</v>
      </c>
      <c r="F12" s="1"/>
      <c r="G12" s="14" t="s">
        <v>36</v>
      </c>
      <c r="H12" s="2" t="s">
        <v>39</v>
      </c>
      <c r="J12" s="78"/>
      <c r="K12" s="25">
        <v>0.62812453379412947</v>
      </c>
      <c r="L12" s="52">
        <v>0.21436979141414128</v>
      </c>
      <c r="M12" s="52">
        <v>0.33359463431022535</v>
      </c>
      <c r="N12" s="52">
        <v>-4.5606915673498064E-3</v>
      </c>
      <c r="O12" s="2">
        <v>0.48082088540855983</v>
      </c>
    </row>
    <row r="13" spans="3:17" x14ac:dyDescent="0.45">
      <c r="C13" s="1" t="s">
        <v>3</v>
      </c>
      <c r="D13" s="3">
        <v>0.02</v>
      </c>
      <c r="F13" s="1" t="s">
        <v>14</v>
      </c>
      <c r="G13" s="28" t="s">
        <v>37</v>
      </c>
      <c r="H13" s="2" t="s">
        <v>39</v>
      </c>
      <c r="J13" s="77" t="s">
        <v>42</v>
      </c>
      <c r="K13" s="25" t="s">
        <v>43</v>
      </c>
      <c r="L13" s="52" t="s">
        <v>44</v>
      </c>
      <c r="M13" s="53" t="s">
        <v>45</v>
      </c>
      <c r="N13" s="52" t="s">
        <v>46</v>
      </c>
      <c r="O13" s="2" t="s">
        <v>47</v>
      </c>
    </row>
    <row r="14" spans="3:17" ht="14.65" thickBot="1" x14ac:dyDescent="0.5">
      <c r="C14" s="1" t="s">
        <v>4</v>
      </c>
      <c r="D14" s="2">
        <v>0</v>
      </c>
      <c r="F14" s="1"/>
      <c r="G14" s="14" t="s">
        <v>30</v>
      </c>
      <c r="H14" s="2" t="s">
        <v>39</v>
      </c>
      <c r="J14" s="78"/>
      <c r="K14" s="26">
        <v>0.62029987081838667</v>
      </c>
      <c r="L14" s="27" t="s">
        <v>61</v>
      </c>
      <c r="M14" s="27">
        <v>0.33076633340482775</v>
      </c>
      <c r="N14" s="27">
        <v>-4.3464650979869734E-3</v>
      </c>
      <c r="O14" s="6">
        <v>0.47389640909908431</v>
      </c>
    </row>
    <row r="15" spans="3:17" ht="14.65" thickBot="1" x14ac:dyDescent="0.5">
      <c r="C15" s="4" t="s">
        <v>5</v>
      </c>
      <c r="D15" s="5">
        <v>45584.916666666664</v>
      </c>
      <c r="F15" s="4" t="s">
        <v>48</v>
      </c>
      <c r="G15" s="17" t="s">
        <v>49</v>
      </c>
      <c r="H15" s="6" t="s">
        <v>39</v>
      </c>
    </row>
    <row r="16" spans="3:17" ht="14.65" thickBot="1" x14ac:dyDescent="0.5">
      <c r="M16" s="43"/>
    </row>
    <row r="17" spans="3:17" ht="14.65" thickBot="1" x14ac:dyDescent="0.5">
      <c r="J17" s="71" t="s">
        <v>22</v>
      </c>
      <c r="K17" s="72"/>
      <c r="L17" s="72"/>
      <c r="M17" s="72"/>
      <c r="N17" s="72"/>
      <c r="O17" s="72"/>
      <c r="P17" s="72"/>
      <c r="Q17" s="73"/>
    </row>
    <row r="18" spans="3:17" ht="14.65" thickBot="1" x14ac:dyDescent="0.5">
      <c r="C18" s="71" t="s">
        <v>6</v>
      </c>
      <c r="D18" s="73"/>
      <c r="J18" s="55" t="s">
        <v>40</v>
      </c>
      <c r="K18" s="45"/>
      <c r="L18" s="45"/>
      <c r="M18" s="45"/>
      <c r="N18" s="45"/>
      <c r="O18" s="45"/>
      <c r="P18" s="45"/>
      <c r="Q18" s="46"/>
    </row>
    <row r="19" spans="3:17" x14ac:dyDescent="0.45">
      <c r="C19" s="7" t="s">
        <v>7</v>
      </c>
      <c r="D19" s="8">
        <v>45304</v>
      </c>
      <c r="J19" s="80" t="s">
        <v>63</v>
      </c>
      <c r="K19" s="81"/>
      <c r="L19" s="81"/>
      <c r="M19" s="81"/>
      <c r="N19" s="81"/>
      <c r="O19" s="81"/>
      <c r="P19" s="81"/>
      <c r="Q19" s="82"/>
    </row>
    <row r="20" spans="3:17" x14ac:dyDescent="0.45">
      <c r="C20" s="1" t="s">
        <v>8</v>
      </c>
      <c r="D20" s="2">
        <v>20</v>
      </c>
      <c r="J20" s="80"/>
      <c r="K20" s="81"/>
      <c r="L20" s="81"/>
      <c r="M20" s="81"/>
      <c r="N20" s="81"/>
      <c r="O20" s="81"/>
      <c r="P20" s="81"/>
      <c r="Q20" s="82"/>
    </row>
    <row r="21" spans="3:17" x14ac:dyDescent="0.45">
      <c r="C21" s="1" t="s">
        <v>35</v>
      </c>
      <c r="D21" s="2">
        <v>3</v>
      </c>
      <c r="J21" s="56" t="s">
        <v>56</v>
      </c>
      <c r="K21" s="54"/>
      <c r="L21" s="54"/>
      <c r="M21" s="54"/>
      <c r="N21" s="54"/>
      <c r="O21" s="54"/>
      <c r="P21" s="54"/>
      <c r="Q21" s="36"/>
    </row>
    <row r="22" spans="3:17" ht="14.65" thickBot="1" x14ac:dyDescent="0.5">
      <c r="C22" s="4" t="s">
        <v>34</v>
      </c>
      <c r="D22" s="6">
        <v>365</v>
      </c>
      <c r="J22" s="83" t="s">
        <v>65</v>
      </c>
      <c r="K22" s="84"/>
      <c r="L22" s="84"/>
      <c r="M22" s="84"/>
      <c r="N22" s="84"/>
      <c r="O22" s="84"/>
      <c r="P22" s="84"/>
      <c r="Q22" s="85"/>
    </row>
    <row r="23" spans="3:17" x14ac:dyDescent="0.45">
      <c r="J23" s="83"/>
      <c r="K23" s="84"/>
      <c r="L23" s="84"/>
      <c r="M23" s="84"/>
      <c r="N23" s="84"/>
      <c r="O23" s="84"/>
      <c r="P23" s="84"/>
      <c r="Q23" s="85"/>
    </row>
    <row r="24" spans="3:17" ht="14.65" customHeight="1" thickBot="1" x14ac:dyDescent="0.5">
      <c r="J24" s="80" t="s">
        <v>64</v>
      </c>
      <c r="K24" s="81"/>
      <c r="L24" s="81"/>
      <c r="M24" s="81"/>
      <c r="N24" s="81"/>
      <c r="O24" s="81"/>
      <c r="P24" s="81"/>
      <c r="Q24" s="82"/>
    </row>
    <row r="25" spans="3:17" ht="14.65" thickBot="1" x14ac:dyDescent="0.5">
      <c r="C25" s="71" t="s">
        <v>9</v>
      </c>
      <c r="D25" s="73"/>
      <c r="F25" s="18" t="s">
        <v>33</v>
      </c>
      <c r="G25" s="19" t="s">
        <v>17</v>
      </c>
      <c r="H25" s="20" t="s">
        <v>18</v>
      </c>
      <c r="J25" s="80"/>
      <c r="K25" s="81"/>
      <c r="L25" s="81"/>
      <c r="M25" s="81"/>
      <c r="N25" s="81"/>
      <c r="O25" s="81"/>
      <c r="P25" s="81"/>
      <c r="Q25" s="82"/>
    </row>
    <row r="26" spans="3:17" x14ac:dyDescent="0.45">
      <c r="C26" s="7" t="s">
        <v>10</v>
      </c>
      <c r="D26" s="8">
        <v>45588</v>
      </c>
      <c r="F26" s="64" t="s">
        <v>16</v>
      </c>
      <c r="G26" s="66">
        <v>1.0159595227019753</v>
      </c>
      <c r="H26" s="68">
        <v>8.59375E-2</v>
      </c>
      <c r="J26" s="56" t="s">
        <v>41</v>
      </c>
      <c r="K26" s="14"/>
      <c r="L26" s="14"/>
      <c r="M26" s="14"/>
      <c r="N26" s="14"/>
      <c r="O26" s="14"/>
      <c r="P26" s="14"/>
      <c r="Q26" s="47"/>
    </row>
    <row r="27" spans="3:17" x14ac:dyDescent="0.45">
      <c r="C27" s="1" t="s">
        <v>11</v>
      </c>
      <c r="D27" s="2" t="s">
        <v>15</v>
      </c>
      <c r="F27" s="65"/>
      <c r="G27" s="67"/>
      <c r="H27" s="69"/>
      <c r="J27" s="1" t="s">
        <v>62</v>
      </c>
      <c r="K27" s="14"/>
      <c r="L27" s="14"/>
      <c r="M27" s="14"/>
      <c r="N27" s="14"/>
      <c r="O27" s="14"/>
      <c r="P27" s="14"/>
      <c r="Q27" s="47"/>
    </row>
    <row r="28" spans="3:17" x14ac:dyDescent="0.45">
      <c r="C28" s="1" t="s">
        <v>12</v>
      </c>
      <c r="D28" s="2" t="s">
        <v>53</v>
      </c>
      <c r="F28" s="1" t="s">
        <v>19</v>
      </c>
      <c r="G28" s="9">
        <v>1.0168114166931139</v>
      </c>
      <c r="H28" s="10">
        <v>0</v>
      </c>
      <c r="J28" s="57" t="s">
        <v>66</v>
      </c>
      <c r="K28" s="58"/>
      <c r="L28" s="58"/>
      <c r="M28" s="58"/>
      <c r="N28" s="58"/>
      <c r="O28" s="58"/>
      <c r="P28" s="58"/>
      <c r="Q28" s="59"/>
    </row>
    <row r="29" spans="3:17" ht="14.65" thickBot="1" x14ac:dyDescent="0.5">
      <c r="C29" s="4" t="s">
        <v>13</v>
      </c>
      <c r="D29" s="6">
        <v>101</v>
      </c>
      <c r="F29" s="4" t="s">
        <v>20</v>
      </c>
      <c r="G29" s="11">
        <v>-8.5189399113860809E-4</v>
      </c>
      <c r="H29" s="12">
        <v>8.59375E-2</v>
      </c>
      <c r="J29" s="60"/>
      <c r="K29" s="61"/>
      <c r="L29" s="61"/>
      <c r="M29" s="61"/>
      <c r="N29" s="61"/>
      <c r="O29" s="61"/>
      <c r="P29" s="61"/>
      <c r="Q29" s="62"/>
    </row>
    <row r="33" spans="3:17" x14ac:dyDescent="0.45"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63" t="s">
        <v>32</v>
      </c>
      <c r="O33" s="63"/>
      <c r="P33" s="63"/>
      <c r="Q33" s="63"/>
    </row>
    <row r="34" spans="3:17" x14ac:dyDescent="0.45"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63"/>
      <c r="O34" s="63"/>
      <c r="P34" s="63"/>
      <c r="Q34" s="63"/>
    </row>
    <row r="35" spans="3:17" x14ac:dyDescent="0.45"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63"/>
      <c r="O35" s="63"/>
      <c r="P35" s="63"/>
      <c r="Q35" s="63"/>
    </row>
    <row r="36" spans="3:17" x14ac:dyDescent="0.45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63"/>
      <c r="O36" s="63"/>
      <c r="P36" s="63"/>
      <c r="Q36" s="63"/>
    </row>
  </sheetData>
  <mergeCells count="17">
    <mergeCell ref="C3:Q6"/>
    <mergeCell ref="J17:Q17"/>
    <mergeCell ref="C25:D25"/>
    <mergeCell ref="F10:H10"/>
    <mergeCell ref="C10:D10"/>
    <mergeCell ref="C18:D18"/>
    <mergeCell ref="J13:J14"/>
    <mergeCell ref="J11:J12"/>
    <mergeCell ref="J10:O10"/>
    <mergeCell ref="J19:Q20"/>
    <mergeCell ref="J22:Q23"/>
    <mergeCell ref="J24:Q25"/>
    <mergeCell ref="J28:Q29"/>
    <mergeCell ref="N33:Q36"/>
    <mergeCell ref="F26:F27"/>
    <mergeCell ref="G26:G27"/>
    <mergeCell ref="H26:H2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F07E2-6120-4FE1-AE51-277629280414}">
  <sheetPr codeName="Feuil5"/>
  <dimension ref="C3:P155"/>
  <sheetViews>
    <sheetView zoomScale="50" zoomScaleNormal="49" workbookViewId="0">
      <selection activeCell="L51" sqref="L51"/>
    </sheetView>
  </sheetViews>
  <sheetFormatPr baseColWidth="10" defaultRowHeight="14.25" x14ac:dyDescent="0.45"/>
  <cols>
    <col min="1" max="2" width="10.6640625" style="41"/>
    <col min="3" max="3" width="16.73046875" style="41" bestFit="1" customWidth="1"/>
    <col min="4" max="4" width="17.19921875" style="41" bestFit="1" customWidth="1"/>
    <col min="5" max="5" width="16.9296875" style="41" bestFit="1" customWidth="1"/>
    <col min="6" max="6" width="28.3984375" style="41" bestFit="1" customWidth="1"/>
    <col min="7" max="7" width="25.19921875" style="41" bestFit="1" customWidth="1"/>
    <col min="8" max="8" width="15.796875" style="41" customWidth="1"/>
    <col min="9" max="9" width="14.6640625" style="41" customWidth="1"/>
    <col min="10" max="10" width="15.6640625" style="41" customWidth="1"/>
    <col min="11" max="14" width="10.6640625" style="41"/>
    <col min="15" max="15" width="10.6640625" style="41" customWidth="1"/>
    <col min="16" max="16384" width="10.6640625" style="41"/>
  </cols>
  <sheetData>
    <row r="3" spans="3:14" x14ac:dyDescent="0.45"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</row>
    <row r="4" spans="3:14" x14ac:dyDescent="0.45"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</row>
    <row r="5" spans="3:14" x14ac:dyDescent="0.45"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</row>
    <row r="6" spans="3:14" x14ac:dyDescent="0.45"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8" spans="3:14" ht="14.65" thickBot="1" x14ac:dyDescent="0.5"/>
    <row r="9" spans="3:14" ht="14.65" thickBot="1" x14ac:dyDescent="0.5">
      <c r="C9" s="71" t="s">
        <v>59</v>
      </c>
      <c r="D9" s="73"/>
      <c r="F9" s="92" t="s">
        <v>55</v>
      </c>
      <c r="G9" s="93"/>
    </row>
    <row r="10" spans="3:14" ht="14.65" thickBot="1" x14ac:dyDescent="0.5">
      <c r="C10" s="18" t="s">
        <v>17</v>
      </c>
      <c r="D10" s="24" t="s">
        <v>18</v>
      </c>
      <c r="F10" s="94"/>
      <c r="G10" s="95"/>
    </row>
    <row r="11" spans="3:14" ht="14.65" thickBot="1" x14ac:dyDescent="0.5">
      <c r="C11" s="26">
        <v>1.0168114166931139</v>
      </c>
      <c r="D11" s="13">
        <v>0</v>
      </c>
      <c r="F11" s="94"/>
      <c r="G11" s="95"/>
    </row>
    <row r="12" spans="3:14" x14ac:dyDescent="0.45">
      <c r="F12" s="94"/>
      <c r="G12" s="95"/>
    </row>
    <row r="13" spans="3:14" ht="14.25" customHeight="1" x14ac:dyDescent="0.45">
      <c r="F13" s="94"/>
      <c r="G13" s="95"/>
    </row>
    <row r="14" spans="3:14" ht="14.25" customHeight="1" thickBot="1" x14ac:dyDescent="0.5">
      <c r="F14" s="96"/>
      <c r="G14" s="97"/>
    </row>
    <row r="17" spans="3:16" ht="14.65" thickBot="1" x14ac:dyDescent="0.5">
      <c r="K17" s="34" t="s">
        <v>0</v>
      </c>
      <c r="L17" s="34"/>
      <c r="M17" s="42"/>
      <c r="N17" s="42"/>
      <c r="O17" s="34"/>
    </row>
    <row r="18" spans="3:16" ht="14.65" customHeight="1" thickBot="1" x14ac:dyDescent="0.5">
      <c r="C18" s="18" t="s">
        <v>31</v>
      </c>
      <c r="D18" s="37" t="s">
        <v>38</v>
      </c>
      <c r="E18" s="38" t="s">
        <v>52</v>
      </c>
      <c r="F18" s="39" t="s">
        <v>50</v>
      </c>
      <c r="G18" s="24" t="s">
        <v>51</v>
      </c>
      <c r="I18" s="86" t="s">
        <v>57</v>
      </c>
      <c r="J18" s="87"/>
      <c r="K18" s="34"/>
      <c r="L18" s="34"/>
      <c r="M18" s="34"/>
      <c r="N18" s="34"/>
      <c r="O18" s="34"/>
    </row>
    <row r="19" spans="3:16" x14ac:dyDescent="0.45">
      <c r="C19" s="25">
        <v>5</v>
      </c>
      <c r="D19" s="52">
        <v>1.0311624187466242</v>
      </c>
      <c r="E19" s="52">
        <v>0</v>
      </c>
      <c r="F19" s="52">
        <f t="shared" ref="F19:F47" si="0">(D19-BSPriceAnalysis)*C19</f>
        <v>7.1755010267551267E-2</v>
      </c>
      <c r="G19" s="2">
        <f t="shared" ref="G19:G47" si="1">E19-BSTimeAnalysis</f>
        <v>0</v>
      </c>
      <c r="I19" s="88"/>
      <c r="J19" s="89"/>
      <c r="K19" s="34"/>
      <c r="L19" s="42"/>
      <c r="M19" s="42"/>
      <c r="N19" s="42"/>
      <c r="O19" s="42"/>
      <c r="P19" s="42"/>
    </row>
    <row r="20" spans="3:16" x14ac:dyDescent="0.45">
      <c r="C20" s="25">
        <v>10</v>
      </c>
      <c r="D20" s="52">
        <v>1.0247815227170038</v>
      </c>
      <c r="E20" s="52">
        <v>0</v>
      </c>
      <c r="F20" s="52">
        <f t="shared" si="0"/>
        <v>7.9701060238899224E-2</v>
      </c>
      <c r="G20" s="2">
        <f t="shared" si="1"/>
        <v>0</v>
      </c>
      <c r="I20" s="88"/>
      <c r="J20" s="89"/>
      <c r="K20" s="34"/>
      <c r="L20" s="42"/>
      <c r="M20" s="42"/>
      <c r="N20" s="42"/>
      <c r="O20" s="42"/>
      <c r="P20" s="42"/>
    </row>
    <row r="21" spans="3:16" x14ac:dyDescent="0.45">
      <c r="C21" s="25">
        <v>20</v>
      </c>
      <c r="D21" s="52">
        <v>1.0159595227019753</v>
      </c>
      <c r="E21" s="52">
        <v>0</v>
      </c>
      <c r="F21" s="52">
        <f t="shared" si="0"/>
        <v>-1.7037879822772162E-2</v>
      </c>
      <c r="G21" s="2">
        <f t="shared" si="1"/>
        <v>0</v>
      </c>
      <c r="I21" s="88"/>
      <c r="J21" s="89"/>
      <c r="K21" s="34"/>
      <c r="L21" s="42"/>
      <c r="M21" s="42"/>
      <c r="N21" s="42"/>
      <c r="O21" s="42"/>
      <c r="P21" s="42"/>
    </row>
    <row r="22" spans="3:16" x14ac:dyDescent="0.45">
      <c r="C22" s="25">
        <v>30</v>
      </c>
      <c r="D22" s="52">
        <v>1.0113969010787311</v>
      </c>
      <c r="E22" s="52">
        <v>0</v>
      </c>
      <c r="F22" s="52">
        <f t="shared" si="0"/>
        <v>-0.16243546843148327</v>
      </c>
      <c r="G22" s="2">
        <f t="shared" si="1"/>
        <v>0</v>
      </c>
      <c r="I22" s="88"/>
      <c r="J22" s="89"/>
      <c r="K22" s="34"/>
      <c r="L22" s="42"/>
      <c r="M22" s="42"/>
      <c r="N22" s="42"/>
      <c r="O22" s="42"/>
      <c r="P22" s="42"/>
    </row>
    <row r="23" spans="3:16" x14ac:dyDescent="0.45">
      <c r="C23" s="25">
        <v>40</v>
      </c>
      <c r="D23" s="52">
        <v>1.0159459526793011</v>
      </c>
      <c r="E23" s="52">
        <v>0</v>
      </c>
      <c r="F23" s="52">
        <f t="shared" si="0"/>
        <v>-3.4618560552512889E-2</v>
      </c>
      <c r="G23" s="2">
        <f t="shared" si="1"/>
        <v>0</v>
      </c>
      <c r="I23" s="88"/>
      <c r="J23" s="89"/>
      <c r="K23" s="34"/>
      <c r="L23" s="42"/>
      <c r="M23" s="42"/>
      <c r="N23" s="42"/>
      <c r="O23" s="42"/>
      <c r="P23" s="42"/>
    </row>
    <row r="24" spans="3:16" ht="14.65" thickBot="1" x14ac:dyDescent="0.5">
      <c r="C24" s="25">
        <v>50</v>
      </c>
      <c r="D24" s="52">
        <v>1.0176199233552587</v>
      </c>
      <c r="E24" s="52">
        <v>7.8125E-3</v>
      </c>
      <c r="F24" s="52">
        <f t="shared" si="0"/>
        <v>4.0425333107241279E-2</v>
      </c>
      <c r="G24" s="2">
        <f t="shared" si="1"/>
        <v>7.8125E-3</v>
      </c>
      <c r="I24" s="90"/>
      <c r="J24" s="91"/>
      <c r="K24" s="34"/>
      <c r="L24" s="42"/>
      <c r="M24" s="42"/>
      <c r="N24" s="42"/>
      <c r="O24" s="42"/>
      <c r="P24" s="42"/>
    </row>
    <row r="25" spans="3:16" x14ac:dyDescent="0.45">
      <c r="C25" s="25">
        <v>60</v>
      </c>
      <c r="D25" s="52">
        <v>1.0180871697326292</v>
      </c>
      <c r="E25" s="52">
        <v>0</v>
      </c>
      <c r="F25" s="52">
        <f t="shared" si="0"/>
        <v>7.6545182370919562E-2</v>
      </c>
      <c r="G25" s="2">
        <f t="shared" si="1"/>
        <v>0</v>
      </c>
      <c r="K25" s="34"/>
      <c r="L25" s="42"/>
      <c r="M25" s="42"/>
      <c r="N25" s="42"/>
      <c r="O25" s="42"/>
      <c r="P25" s="42"/>
    </row>
    <row r="26" spans="3:16" x14ac:dyDescent="0.45">
      <c r="C26" s="25">
        <v>70</v>
      </c>
      <c r="D26" s="52">
        <v>1.0179907798381977</v>
      </c>
      <c r="E26" s="52">
        <v>1.5625E-2</v>
      </c>
      <c r="F26" s="52">
        <f t="shared" si="0"/>
        <v>8.2555420155867587E-2</v>
      </c>
      <c r="G26" s="2">
        <f t="shared" si="1"/>
        <v>1.5625E-2</v>
      </c>
      <c r="K26" s="34"/>
      <c r="L26" s="42"/>
      <c r="M26" s="42"/>
      <c r="N26" s="42"/>
      <c r="O26" s="42"/>
      <c r="P26" s="42"/>
    </row>
    <row r="27" spans="3:16" x14ac:dyDescent="0.45">
      <c r="C27" s="25">
        <v>80</v>
      </c>
      <c r="D27" s="52">
        <v>1.0176167296780216</v>
      </c>
      <c r="E27" s="52">
        <v>0</v>
      </c>
      <c r="F27" s="52">
        <f t="shared" si="0"/>
        <v>6.4425038792617073E-2</v>
      </c>
      <c r="G27" s="2">
        <f t="shared" si="1"/>
        <v>0</v>
      </c>
      <c r="K27" s="34"/>
      <c r="L27" s="42"/>
      <c r="M27" s="42"/>
      <c r="N27" s="42"/>
      <c r="O27" s="42"/>
      <c r="P27" s="42"/>
    </row>
    <row r="28" spans="3:16" x14ac:dyDescent="0.45">
      <c r="C28" s="25">
        <v>90</v>
      </c>
      <c r="D28" s="52">
        <v>1.0171047644502258</v>
      </c>
      <c r="E28" s="52">
        <v>1.5625E-2</v>
      </c>
      <c r="F28" s="52">
        <f t="shared" si="0"/>
        <v>2.640129814006853E-2</v>
      </c>
      <c r="G28" s="2">
        <f t="shared" si="1"/>
        <v>1.5625E-2</v>
      </c>
      <c r="K28" s="34"/>
      <c r="L28" s="42"/>
      <c r="M28" s="42"/>
      <c r="N28" s="42"/>
      <c r="O28" s="42"/>
      <c r="P28" s="42"/>
    </row>
    <row r="29" spans="3:16" x14ac:dyDescent="0.45">
      <c r="C29" s="25">
        <v>100</v>
      </c>
      <c r="D29" s="52">
        <v>1.0165276875341307</v>
      </c>
      <c r="E29" s="52">
        <v>0</v>
      </c>
      <c r="F29" s="52">
        <f t="shared" si="0"/>
        <v>-2.8372915898322582E-2</v>
      </c>
      <c r="G29" s="2">
        <f t="shared" si="1"/>
        <v>0</v>
      </c>
      <c r="K29" s="34"/>
      <c r="L29" s="42"/>
      <c r="M29" s="42"/>
      <c r="N29" s="42"/>
      <c r="O29" s="42"/>
      <c r="P29" s="42"/>
    </row>
    <row r="30" spans="3:16" x14ac:dyDescent="0.45">
      <c r="C30" s="25">
        <v>120</v>
      </c>
      <c r="D30" s="52">
        <v>1.0155133587341858</v>
      </c>
      <c r="E30" s="52">
        <v>2.34375E-2</v>
      </c>
      <c r="F30" s="52">
        <f t="shared" si="0"/>
        <v>-0.15576695507137472</v>
      </c>
      <c r="G30" s="2">
        <f t="shared" si="1"/>
        <v>2.34375E-2</v>
      </c>
      <c r="K30" s="34"/>
      <c r="L30" s="42"/>
      <c r="M30" s="42"/>
      <c r="N30" s="42"/>
      <c r="O30" s="42"/>
      <c r="P30" s="42"/>
    </row>
    <row r="31" spans="3:16" x14ac:dyDescent="0.45">
      <c r="C31" s="25">
        <v>140</v>
      </c>
      <c r="D31" s="52">
        <v>1.0166303899410329</v>
      </c>
      <c r="E31" s="52">
        <v>1.5625E-2</v>
      </c>
      <c r="F31" s="52">
        <f t="shared" si="0"/>
        <v>-2.5343745291337427E-2</v>
      </c>
      <c r="G31" s="2">
        <f t="shared" si="1"/>
        <v>1.5625E-2</v>
      </c>
      <c r="K31" s="34"/>
      <c r="L31" s="42"/>
      <c r="M31" s="42"/>
      <c r="N31" s="42"/>
      <c r="O31" s="42"/>
      <c r="P31" s="42"/>
    </row>
    <row r="32" spans="3:16" x14ac:dyDescent="0.45">
      <c r="C32" s="25">
        <v>160</v>
      </c>
      <c r="D32" s="52">
        <v>1.0171291653465866</v>
      </c>
      <c r="E32" s="52">
        <v>1.5625E-2</v>
      </c>
      <c r="F32" s="52">
        <f t="shared" si="0"/>
        <v>5.0839784555627432E-2</v>
      </c>
      <c r="G32" s="2">
        <f t="shared" si="1"/>
        <v>1.5625E-2</v>
      </c>
      <c r="K32" s="34"/>
      <c r="L32" s="42"/>
      <c r="M32" s="42"/>
      <c r="N32" s="42"/>
      <c r="O32" s="42"/>
      <c r="P32" s="42"/>
    </row>
    <row r="33" spans="3:16" x14ac:dyDescent="0.45">
      <c r="C33" s="25">
        <v>180</v>
      </c>
      <c r="D33" s="52">
        <v>1.0172662403926236</v>
      </c>
      <c r="E33" s="52">
        <v>3.125E-2</v>
      </c>
      <c r="F33" s="52">
        <f t="shared" si="0"/>
        <v>8.186826591173979E-2</v>
      </c>
      <c r="G33" s="2">
        <f t="shared" si="1"/>
        <v>3.125E-2</v>
      </c>
      <c r="K33" s="34"/>
      <c r="L33" s="42"/>
      <c r="M33" s="42"/>
      <c r="N33" s="42"/>
      <c r="O33" s="42"/>
      <c r="P33" s="42"/>
    </row>
    <row r="34" spans="3:16" x14ac:dyDescent="0.45">
      <c r="C34" s="25">
        <v>200</v>
      </c>
      <c r="D34" s="52">
        <v>1.0171844212550403</v>
      </c>
      <c r="E34" s="52">
        <v>1.5625E-2</v>
      </c>
      <c r="F34" s="52">
        <f t="shared" si="0"/>
        <v>7.460091238526978E-2</v>
      </c>
      <c r="G34" s="2">
        <f t="shared" si="1"/>
        <v>1.5625E-2</v>
      </c>
      <c r="K34" s="34"/>
      <c r="L34" s="42"/>
      <c r="M34" s="42"/>
      <c r="N34" s="42"/>
      <c r="O34" s="42"/>
      <c r="P34" s="42"/>
    </row>
    <row r="35" spans="3:16" x14ac:dyDescent="0.45">
      <c r="C35" s="25">
        <v>220</v>
      </c>
      <c r="D35" s="52">
        <v>1.0169675543434824</v>
      </c>
      <c r="E35" s="52">
        <v>1.5625E-2</v>
      </c>
      <c r="F35" s="52">
        <f t="shared" si="0"/>
        <v>3.4350283081066024E-2</v>
      </c>
      <c r="G35" s="2">
        <f t="shared" si="1"/>
        <v>1.5625E-2</v>
      </c>
      <c r="K35" s="34"/>
      <c r="L35" s="42"/>
      <c r="M35" s="42"/>
      <c r="N35" s="42"/>
      <c r="O35" s="42"/>
      <c r="P35" s="42"/>
    </row>
    <row r="36" spans="3:16" x14ac:dyDescent="0.45">
      <c r="C36" s="25">
        <v>240</v>
      </c>
      <c r="D36" s="52">
        <v>1.0166669261329</v>
      </c>
      <c r="E36" s="52">
        <v>1.5625E-2</v>
      </c>
      <c r="F36" s="52">
        <f t="shared" si="0"/>
        <v>-3.4677734451342701E-2</v>
      </c>
      <c r="G36" s="2">
        <f t="shared" si="1"/>
        <v>1.5625E-2</v>
      </c>
      <c r="K36" s="34"/>
      <c r="L36" s="42"/>
      <c r="M36" s="42"/>
      <c r="N36" s="42"/>
      <c r="O36" s="42"/>
      <c r="P36" s="42"/>
    </row>
    <row r="37" spans="3:16" x14ac:dyDescent="0.45">
      <c r="C37" s="25">
        <v>260</v>
      </c>
      <c r="D37" s="52">
        <v>1.0163149160477241</v>
      </c>
      <c r="E37" s="52">
        <v>3.125E-2</v>
      </c>
      <c r="F37" s="52">
        <f t="shared" si="0"/>
        <v>-0.12909016780136451</v>
      </c>
      <c r="G37" s="2">
        <f t="shared" si="1"/>
        <v>3.125E-2</v>
      </c>
      <c r="K37" s="34"/>
      <c r="L37" s="42"/>
      <c r="M37" s="42"/>
      <c r="N37" s="42"/>
      <c r="O37" s="42"/>
      <c r="P37" s="42"/>
    </row>
    <row r="38" spans="3:16" x14ac:dyDescent="0.45">
      <c r="C38" s="25">
        <v>280</v>
      </c>
      <c r="D38" s="52">
        <v>1.0164544093900325</v>
      </c>
      <c r="E38" s="52">
        <v>1.5625E-2</v>
      </c>
      <c r="F38" s="52">
        <f t="shared" si="0"/>
        <v>-9.9962044862795807E-2</v>
      </c>
      <c r="G38" s="2">
        <f t="shared" si="1"/>
        <v>1.5625E-2</v>
      </c>
      <c r="K38" s="34"/>
      <c r="L38" s="42"/>
      <c r="M38" s="42"/>
      <c r="N38" s="42"/>
      <c r="O38" s="42"/>
      <c r="P38" s="42"/>
    </row>
    <row r="39" spans="3:16" x14ac:dyDescent="0.45">
      <c r="C39" s="25">
        <v>300</v>
      </c>
      <c r="D39" s="52">
        <v>1.0167457010801821</v>
      </c>
      <c r="E39" s="52">
        <v>3.125E-2</v>
      </c>
      <c r="F39" s="52">
        <f t="shared" si="0"/>
        <v>-1.9714683879534789E-2</v>
      </c>
      <c r="G39" s="2">
        <f t="shared" si="1"/>
        <v>3.125E-2</v>
      </c>
      <c r="K39" s="34"/>
      <c r="L39" s="42"/>
      <c r="M39" s="42"/>
      <c r="N39" s="42"/>
      <c r="O39" s="42"/>
      <c r="P39" s="42"/>
    </row>
    <row r="40" spans="3:16" x14ac:dyDescent="0.45">
      <c r="C40" s="25">
        <v>320</v>
      </c>
      <c r="D40" s="52">
        <v>1.01692457936573</v>
      </c>
      <c r="E40" s="52">
        <v>3.125E-2</v>
      </c>
      <c r="F40" s="52">
        <f t="shared" si="0"/>
        <v>3.6212055237143659E-2</v>
      </c>
      <c r="G40" s="2">
        <f t="shared" si="1"/>
        <v>3.125E-2</v>
      </c>
      <c r="K40" s="34"/>
      <c r="L40" s="42"/>
      <c r="M40" s="42"/>
      <c r="N40" s="42"/>
      <c r="O40" s="42"/>
      <c r="P40" s="42"/>
    </row>
    <row r="41" spans="3:16" x14ac:dyDescent="0.45">
      <c r="C41" s="25">
        <v>340</v>
      </c>
      <c r="D41" s="52">
        <v>1.0170169517130143</v>
      </c>
      <c r="E41" s="52">
        <v>2.34375E-2</v>
      </c>
      <c r="F41" s="52">
        <f t="shared" si="0"/>
        <v>6.9881906766133817E-2</v>
      </c>
      <c r="G41" s="2">
        <f t="shared" si="1"/>
        <v>2.34375E-2</v>
      </c>
      <c r="K41" s="34"/>
      <c r="L41" s="42"/>
      <c r="M41" s="42"/>
      <c r="N41" s="42"/>
      <c r="O41" s="42"/>
      <c r="P41" s="42"/>
    </row>
    <row r="42" spans="3:16" x14ac:dyDescent="0.45">
      <c r="C42" s="25">
        <v>360</v>
      </c>
      <c r="D42" s="52">
        <v>1.0170422227045512</v>
      </c>
      <c r="E42" s="52">
        <v>3.125E-2</v>
      </c>
      <c r="F42" s="52">
        <f t="shared" si="0"/>
        <v>8.3090164117436416E-2</v>
      </c>
      <c r="G42" s="2">
        <f t="shared" si="1"/>
        <v>3.125E-2</v>
      </c>
      <c r="K42" s="34"/>
      <c r="L42" s="42"/>
      <c r="M42" s="42"/>
      <c r="N42" s="42"/>
      <c r="O42" s="42"/>
      <c r="P42" s="42"/>
    </row>
    <row r="43" spans="3:16" x14ac:dyDescent="0.45">
      <c r="C43" s="25">
        <v>380</v>
      </c>
      <c r="D43" s="52">
        <v>1.0170151240855603</v>
      </c>
      <c r="E43" s="52">
        <v>3.90625E-2</v>
      </c>
      <c r="F43" s="52">
        <f t="shared" si="0"/>
        <v>7.7408809129613232E-2</v>
      </c>
      <c r="G43" s="2">
        <f t="shared" si="1"/>
        <v>3.90625E-2</v>
      </c>
      <c r="K43" s="34"/>
      <c r="L43" s="42"/>
      <c r="M43" s="42"/>
      <c r="N43" s="42"/>
      <c r="O43" s="42"/>
      <c r="P43" s="42"/>
    </row>
    <row r="44" spans="3:16" x14ac:dyDescent="0.45">
      <c r="C44" s="25">
        <v>400</v>
      </c>
      <c r="D44" s="52">
        <v>1.016946973258414</v>
      </c>
      <c r="E44" s="52">
        <v>3.125E-2</v>
      </c>
      <c r="F44" s="52">
        <f t="shared" si="0"/>
        <v>5.4222626120026263E-2</v>
      </c>
      <c r="G44" s="2">
        <f t="shared" si="1"/>
        <v>3.125E-2</v>
      </c>
      <c r="K44" s="34"/>
      <c r="L44" s="42"/>
      <c r="M44" s="42"/>
      <c r="N44" s="42"/>
      <c r="O44" s="42"/>
      <c r="P44" s="42"/>
    </row>
    <row r="45" spans="3:16" x14ac:dyDescent="0.45">
      <c r="C45" s="25">
        <v>450</v>
      </c>
      <c r="D45" s="52">
        <v>1.0166500783967469</v>
      </c>
      <c r="E45" s="52">
        <v>3.125E-2</v>
      </c>
      <c r="F45" s="52">
        <f t="shared" si="0"/>
        <v>-7.2602233365148816E-2</v>
      </c>
      <c r="G45" s="2">
        <f t="shared" si="1"/>
        <v>3.125E-2</v>
      </c>
      <c r="L45" s="42"/>
      <c r="M45" s="42"/>
      <c r="N45" s="42"/>
      <c r="O45" s="42"/>
      <c r="P45" s="42"/>
    </row>
    <row r="46" spans="3:16" x14ac:dyDescent="0.45">
      <c r="C46" s="25">
        <v>500</v>
      </c>
      <c r="D46" s="52">
        <v>1.0166665461110365</v>
      </c>
      <c r="E46" s="52">
        <v>6.25E-2</v>
      </c>
      <c r="F46" s="52">
        <f t="shared" si="0"/>
        <v>-7.2435291038730476E-2</v>
      </c>
      <c r="G46" s="2">
        <f t="shared" si="1"/>
        <v>6.25E-2</v>
      </c>
      <c r="L46" s="42"/>
      <c r="M46" s="42"/>
      <c r="N46" s="42"/>
      <c r="O46" s="42"/>
      <c r="P46" s="42"/>
    </row>
    <row r="47" spans="3:16" ht="14.65" thickBot="1" x14ac:dyDescent="0.5">
      <c r="C47" s="26">
        <v>550</v>
      </c>
      <c r="D47" s="27">
        <v>1.0168938469809381</v>
      </c>
      <c r="E47" s="27">
        <v>6.25E-2</v>
      </c>
      <c r="F47" s="27">
        <f t="shared" si="0"/>
        <v>4.5336658303296584E-2</v>
      </c>
      <c r="G47" s="6">
        <f t="shared" si="1"/>
        <v>6.25E-2</v>
      </c>
      <c r="L47" s="42"/>
      <c r="M47" s="42"/>
      <c r="N47" s="42"/>
      <c r="O47" s="42"/>
      <c r="P47" s="42"/>
    </row>
    <row r="49" spans="3:9" ht="14.65" thickBot="1" x14ac:dyDescent="0.5"/>
    <row r="50" spans="3:9" ht="14.65" customHeight="1" thickBot="1" x14ac:dyDescent="0.5">
      <c r="C50" s="40" t="s">
        <v>13</v>
      </c>
      <c r="D50" s="39" t="s">
        <v>38</v>
      </c>
      <c r="E50" s="39" t="s">
        <v>54</v>
      </c>
      <c r="F50" s="30" t="s">
        <v>50</v>
      </c>
      <c r="H50" s="86" t="s">
        <v>58</v>
      </c>
      <c r="I50" s="87"/>
    </row>
    <row r="51" spans="3:9" x14ac:dyDescent="0.45">
      <c r="C51" s="33">
        <v>39</v>
      </c>
      <c r="D51" s="29">
        <v>61.602840419431104</v>
      </c>
      <c r="E51" s="29">
        <v>61.602799892528424</v>
      </c>
      <c r="F51" s="21">
        <f t="shared" ref="F51:F82" si="2">$D51-$E51</f>
        <v>4.0526902679971499E-5</v>
      </c>
      <c r="H51" s="88"/>
      <c r="I51" s="89"/>
    </row>
    <row r="52" spans="3:9" x14ac:dyDescent="0.45">
      <c r="C52" s="31">
        <v>41</v>
      </c>
      <c r="D52" s="9">
        <v>59.634198484007825</v>
      </c>
      <c r="E52" s="9">
        <v>59.634384470550899</v>
      </c>
      <c r="F52" s="10">
        <f t="shared" si="2"/>
        <v>-1.8598654307311335E-4</v>
      </c>
      <c r="H52" s="88"/>
      <c r="I52" s="89"/>
    </row>
    <row r="53" spans="3:9" x14ac:dyDescent="0.45">
      <c r="C53" s="31">
        <v>43</v>
      </c>
      <c r="D53" s="9">
        <v>57.666199631889704</v>
      </c>
      <c r="E53" s="9">
        <v>57.666616396059844</v>
      </c>
      <c r="F53" s="10">
        <f t="shared" si="2"/>
        <v>-4.1676417014002709E-4</v>
      </c>
      <c r="H53" s="88"/>
      <c r="I53" s="89"/>
    </row>
    <row r="54" spans="3:9" x14ac:dyDescent="0.45">
      <c r="C54" s="31">
        <v>45</v>
      </c>
      <c r="D54" s="9">
        <v>55.700527994891893</v>
      </c>
      <c r="E54" s="9">
        <v>55.699942537968958</v>
      </c>
      <c r="F54" s="10">
        <f t="shared" si="2"/>
        <v>5.8545692293421325E-4</v>
      </c>
      <c r="H54" s="88"/>
      <c r="I54" s="89"/>
    </row>
    <row r="55" spans="3:9" x14ac:dyDescent="0.45">
      <c r="C55" s="31">
        <v>47</v>
      </c>
      <c r="D55" s="9">
        <v>53.734856357894088</v>
      </c>
      <c r="E55" s="9">
        <v>53.735022140511873</v>
      </c>
      <c r="F55" s="10">
        <f t="shared" si="2"/>
        <v>-1.6578261778477099E-4</v>
      </c>
      <c r="H55" s="88"/>
      <c r="I55" s="89"/>
    </row>
    <row r="56" spans="3:9" ht="14.65" thickBot="1" x14ac:dyDescent="0.5">
      <c r="C56" s="31">
        <v>49</v>
      </c>
      <c r="D56" s="9">
        <v>51.769184720896291</v>
      </c>
      <c r="E56" s="9">
        <v>51.772781130869497</v>
      </c>
      <c r="F56" s="10">
        <f t="shared" si="2"/>
        <v>-3.5964099732055388E-3</v>
      </c>
      <c r="H56" s="90"/>
      <c r="I56" s="91"/>
    </row>
    <row r="57" spans="3:9" x14ac:dyDescent="0.45">
      <c r="C57" s="31">
        <v>51</v>
      </c>
      <c r="D57" s="9">
        <v>49.816543135410164</v>
      </c>
      <c r="E57" s="9">
        <v>49.814463781954068</v>
      </c>
      <c r="F57" s="10">
        <f t="shared" si="2"/>
        <v>2.0793534560965554E-3</v>
      </c>
    </row>
    <row r="58" spans="3:9" x14ac:dyDescent="0.45">
      <c r="C58" s="31">
        <v>53</v>
      </c>
      <c r="D58" s="9">
        <v>47.865400003680584</v>
      </c>
      <c r="E58" s="9">
        <v>47.861676649994031</v>
      </c>
      <c r="F58" s="10">
        <f t="shared" si="2"/>
        <v>3.7233536865528549E-3</v>
      </c>
    </row>
    <row r="59" spans="3:9" x14ac:dyDescent="0.45">
      <c r="C59" s="31">
        <v>55</v>
      </c>
      <c r="D59" s="9">
        <v>45.91425687195099</v>
      </c>
      <c r="E59" s="9">
        <v>45.916419999853176</v>
      </c>
      <c r="F59" s="10">
        <f t="shared" si="2"/>
        <v>-2.1631279021860905E-3</v>
      </c>
    </row>
    <row r="60" spans="3:9" x14ac:dyDescent="0.45">
      <c r="C60" s="31">
        <v>57</v>
      </c>
      <c r="D60" s="9">
        <v>43.966198562295077</v>
      </c>
      <c r="E60" s="9">
        <v>43.98110281855503</v>
      </c>
      <c r="F60" s="10">
        <f t="shared" si="2"/>
        <v>-1.4904256259953286E-2</v>
      </c>
    </row>
    <row r="61" spans="3:9" x14ac:dyDescent="0.45">
      <c r="C61" s="31">
        <v>59</v>
      </c>
      <c r="D61" s="9">
        <v>42.06695003173494</v>
      </c>
      <c r="E61" s="9">
        <v>42.058538850509613</v>
      </c>
      <c r="F61" s="10">
        <f t="shared" si="2"/>
        <v>8.4111812253269136E-3</v>
      </c>
    </row>
    <row r="62" spans="3:9" x14ac:dyDescent="0.45">
      <c r="C62" s="31">
        <v>61</v>
      </c>
      <c r="D62" s="9">
        <v>40.167701501174783</v>
      </c>
      <c r="E62" s="9">
        <v>40.151922665731306</v>
      </c>
      <c r="F62" s="10">
        <f t="shared" si="2"/>
        <v>1.5778835443477135E-2</v>
      </c>
    </row>
    <row r="63" spans="3:9" x14ac:dyDescent="0.45">
      <c r="C63" s="31">
        <v>63</v>
      </c>
      <c r="D63" s="9">
        <v>38.268452970614646</v>
      </c>
      <c r="E63" s="9">
        <v>38.264786384004253</v>
      </c>
      <c r="F63" s="10">
        <f t="shared" si="2"/>
        <v>3.6665866103930966E-3</v>
      </c>
    </row>
    <row r="64" spans="3:9" x14ac:dyDescent="0.45">
      <c r="C64" s="31">
        <v>65</v>
      </c>
      <c r="D64" s="9">
        <v>36.369204440054503</v>
      </c>
      <c r="E64" s="9">
        <v>36.40093913709584</v>
      </c>
      <c r="F64" s="10">
        <f t="shared" si="2"/>
        <v>-3.1734697041336801E-2</v>
      </c>
    </row>
    <row r="65" spans="3:6" x14ac:dyDescent="0.45">
      <c r="C65" s="31">
        <v>67</v>
      </c>
      <c r="D65" s="9">
        <v>34.555533791521356</v>
      </c>
      <c r="E65" s="9">
        <v>34.564392518589948</v>
      </c>
      <c r="F65" s="10">
        <f t="shared" si="2"/>
        <v>-8.8587270685920316E-3</v>
      </c>
    </row>
    <row r="66" spans="3:6" x14ac:dyDescent="0.45">
      <c r="C66" s="31">
        <v>69</v>
      </c>
      <c r="D66" s="9">
        <v>32.793540452793287</v>
      </c>
      <c r="E66" s="9">
        <v>32.759276064762588</v>
      </c>
      <c r="F66" s="10">
        <f t="shared" si="2"/>
        <v>3.4264388030699422E-2</v>
      </c>
    </row>
    <row r="67" spans="3:6" x14ac:dyDescent="0.45">
      <c r="C67" s="31">
        <v>71</v>
      </c>
      <c r="D67" s="9">
        <v>31.031547114065219</v>
      </c>
      <c r="E67" s="9">
        <v>30.98974720437058</v>
      </c>
      <c r="F67" s="10">
        <f t="shared" si="2"/>
        <v>4.179990969463887E-2</v>
      </c>
    </row>
    <row r="68" spans="3:6" x14ac:dyDescent="0.45">
      <c r="C68" s="31">
        <v>73</v>
      </c>
      <c r="D68" s="9">
        <v>29.269553775337155</v>
      </c>
      <c r="E68" s="9">
        <v>29.259900131873458</v>
      </c>
      <c r="F68" s="10">
        <f t="shared" si="2"/>
        <v>9.6536434636966817E-3</v>
      </c>
    </row>
    <row r="69" spans="3:6" x14ac:dyDescent="0.45">
      <c r="C69" s="31">
        <v>75</v>
      </c>
      <c r="D69" s="9">
        <v>27.50756043660909</v>
      </c>
      <c r="E69" s="9">
        <v>27.57367775349659</v>
      </c>
      <c r="F69" s="10">
        <f t="shared" si="2"/>
        <v>-6.6117316887499555E-2</v>
      </c>
    </row>
    <row r="70" spans="3:6" x14ac:dyDescent="0.45">
      <c r="C70" s="31">
        <v>77</v>
      </c>
      <c r="D70" s="9">
        <v>25.879420062305865</v>
      </c>
      <c r="E70" s="9">
        <v>25.934790305077431</v>
      </c>
      <c r="F70" s="10">
        <f t="shared" si="2"/>
        <v>-5.5370242771566325E-2</v>
      </c>
    </row>
    <row r="71" spans="3:6" x14ac:dyDescent="0.45">
      <c r="C71" s="31">
        <v>79</v>
      </c>
      <c r="D71" s="9">
        <v>24.38747748204193</v>
      </c>
      <c r="E71" s="9">
        <v>24.346643528734578</v>
      </c>
      <c r="F71" s="10">
        <f t="shared" si="2"/>
        <v>4.0833953307352289E-2</v>
      </c>
    </row>
    <row r="72" spans="3:6" x14ac:dyDescent="0.45">
      <c r="C72" s="31">
        <v>81</v>
      </c>
      <c r="D72" s="9">
        <v>22.895534901777992</v>
      </c>
      <c r="E72" s="9">
        <v>22.812278503146825</v>
      </c>
      <c r="F72" s="10">
        <f t="shared" si="2"/>
        <v>8.3256398631167627E-2</v>
      </c>
    </row>
    <row r="73" spans="3:6" x14ac:dyDescent="0.45">
      <c r="C73" s="31">
        <v>83</v>
      </c>
      <c r="D73" s="9">
        <v>21.403592321514054</v>
      </c>
      <c r="E73" s="9">
        <v>21.334324420632889</v>
      </c>
      <c r="F73" s="10">
        <f t="shared" si="2"/>
        <v>6.926790088116519E-2</v>
      </c>
    </row>
    <row r="74" spans="3:6" x14ac:dyDescent="0.45">
      <c r="C74" s="31">
        <v>85</v>
      </c>
      <c r="D74" s="9">
        <v>19.91164974125012</v>
      </c>
      <c r="E74" s="9">
        <v>19.914964850006466</v>
      </c>
      <c r="F74" s="10">
        <f t="shared" si="2"/>
        <v>-3.315108756346774E-3</v>
      </c>
    </row>
    <row r="75" spans="3:6" x14ac:dyDescent="0.45">
      <c r="C75" s="31">
        <v>87</v>
      </c>
      <c r="D75" s="9">
        <v>18.419707160986185</v>
      </c>
      <c r="E75" s="9">
        <v>18.555917358185638</v>
      </c>
      <c r="F75" s="10">
        <f t="shared" si="2"/>
        <v>-0.13621019719945338</v>
      </c>
    </row>
    <row r="76" spans="3:6" x14ac:dyDescent="0.45">
      <c r="C76" s="31">
        <v>89</v>
      </c>
      <c r="D76" s="9">
        <v>17.15200173346533</v>
      </c>
      <c r="E76" s="9">
        <v>17.258425811127523</v>
      </c>
      <c r="F76" s="10">
        <f t="shared" si="2"/>
        <v>-0.10642407766219364</v>
      </c>
    </row>
    <row r="77" spans="3:6" x14ac:dyDescent="0.45">
      <c r="C77" s="31">
        <v>91</v>
      </c>
      <c r="D77" s="9">
        <v>16.054828882115721</v>
      </c>
      <c r="E77" s="9">
        <v>16.023264247481979</v>
      </c>
      <c r="F77" s="10">
        <f t="shared" si="2"/>
        <v>3.1564634633742372E-2</v>
      </c>
    </row>
    <row r="78" spans="3:6" x14ac:dyDescent="0.45">
      <c r="C78" s="31">
        <f>C77+0.5</f>
        <v>91.5</v>
      </c>
      <c r="D78" s="9">
        <v>15.506242456440923</v>
      </c>
      <c r="E78" s="9">
        <v>15.42917389971832</v>
      </c>
      <c r="F78" s="10">
        <f t="shared" si="2"/>
        <v>7.7068556722602821E-2</v>
      </c>
    </row>
    <row r="79" spans="3:6" x14ac:dyDescent="0.45">
      <c r="C79" s="31">
        <f t="shared" ref="C79:C94" si="3">C78+0.5</f>
        <v>92</v>
      </c>
      <c r="D79" s="9">
        <v>15.506242456440923</v>
      </c>
      <c r="E79" s="9">
        <v>15.42917389971832</v>
      </c>
      <c r="F79" s="10">
        <f t="shared" si="2"/>
        <v>7.7068556722602821E-2</v>
      </c>
    </row>
    <row r="80" spans="3:6" x14ac:dyDescent="0.45">
      <c r="C80" s="31">
        <f t="shared" si="3"/>
        <v>92.5</v>
      </c>
      <c r="D80" s="9">
        <v>15.506242456440923</v>
      </c>
      <c r="E80" s="9">
        <v>15.42917389971832</v>
      </c>
      <c r="F80" s="10">
        <f t="shared" si="2"/>
        <v>7.7068556722602821E-2</v>
      </c>
    </row>
    <row r="81" spans="3:6" x14ac:dyDescent="0.45">
      <c r="C81" s="31">
        <f t="shared" si="3"/>
        <v>93</v>
      </c>
      <c r="D81" s="9">
        <v>14.957656030766119</v>
      </c>
      <c r="E81" s="9">
        <v>14.850750916850078</v>
      </c>
      <c r="F81" s="10">
        <f t="shared" si="2"/>
        <v>0.10690511391604041</v>
      </c>
    </row>
    <row r="82" spans="3:6" x14ac:dyDescent="0.45">
      <c r="C82" s="31">
        <f t="shared" si="3"/>
        <v>93.5</v>
      </c>
      <c r="D82" s="9">
        <v>14.409069605091316</v>
      </c>
      <c r="E82" s="9">
        <v>14.287967577594443</v>
      </c>
      <c r="F82" s="10">
        <f t="shared" si="2"/>
        <v>0.12110202749687282</v>
      </c>
    </row>
    <row r="83" spans="3:6" x14ac:dyDescent="0.45">
      <c r="C83" s="31">
        <f t="shared" si="3"/>
        <v>94</v>
      </c>
      <c r="D83" s="9">
        <v>14.409069605091316</v>
      </c>
      <c r="E83" s="9">
        <v>14.287967577594443</v>
      </c>
      <c r="F83" s="10">
        <f t="shared" ref="F83:F114" si="4">$D83-$E83</f>
        <v>0.12110202749687282</v>
      </c>
    </row>
    <row r="84" spans="3:6" x14ac:dyDescent="0.45">
      <c r="C84" s="31">
        <f t="shared" si="3"/>
        <v>94.5</v>
      </c>
      <c r="D84" s="9">
        <v>14.409069605091316</v>
      </c>
      <c r="E84" s="9">
        <v>14.287967577594443</v>
      </c>
      <c r="F84" s="10">
        <f t="shared" si="4"/>
        <v>0.12110202749687282</v>
      </c>
    </row>
    <row r="85" spans="3:6" x14ac:dyDescent="0.45">
      <c r="C85" s="31">
        <f t="shared" si="3"/>
        <v>95</v>
      </c>
      <c r="D85" s="9">
        <v>13.860483179416512</v>
      </c>
      <c r="E85" s="9">
        <v>13.740770890715178</v>
      </c>
      <c r="F85" s="10">
        <f t="shared" si="4"/>
        <v>0.11971228870133466</v>
      </c>
    </row>
    <row r="86" spans="3:6" x14ac:dyDescent="0.45">
      <c r="C86" s="31">
        <f t="shared" si="3"/>
        <v>95.5</v>
      </c>
      <c r="D86" s="9">
        <v>13.31189675374171</v>
      </c>
      <c r="E86" s="9">
        <v>13.209083652697963</v>
      </c>
      <c r="F86" s="10">
        <f t="shared" si="4"/>
        <v>0.10281310104374697</v>
      </c>
    </row>
    <row r="87" spans="3:6" x14ac:dyDescent="0.45">
      <c r="C87" s="31">
        <f t="shared" si="3"/>
        <v>96</v>
      </c>
      <c r="D87" s="9">
        <v>13.31189675374171</v>
      </c>
      <c r="E87" s="9">
        <v>13.209083652697963</v>
      </c>
      <c r="F87" s="10">
        <f t="shared" si="4"/>
        <v>0.10281310104374697</v>
      </c>
    </row>
    <row r="88" spans="3:6" x14ac:dyDescent="0.45">
      <c r="C88" s="31">
        <f t="shared" si="3"/>
        <v>96.5</v>
      </c>
      <c r="D88" s="9">
        <v>13.31189675374171</v>
      </c>
      <c r="E88" s="9">
        <v>13.209083652697963</v>
      </c>
      <c r="F88" s="10">
        <f t="shared" si="4"/>
        <v>0.10281310104374697</v>
      </c>
    </row>
    <row r="89" spans="3:6" x14ac:dyDescent="0.45">
      <c r="C89" s="31">
        <f t="shared" si="3"/>
        <v>97</v>
      </c>
      <c r="D89" s="9">
        <v>12.763310328066904</v>
      </c>
      <c r="E89" s="9">
        <v>12.692805574319072</v>
      </c>
      <c r="F89" s="10">
        <f t="shared" si="4"/>
        <v>7.0504753747831828E-2</v>
      </c>
    </row>
    <row r="90" spans="3:6" x14ac:dyDescent="0.45">
      <c r="C90" s="31">
        <f t="shared" si="3"/>
        <v>97.5</v>
      </c>
      <c r="D90" s="9">
        <v>12.2147239023921</v>
      </c>
      <c r="E90" s="9">
        <v>12.191814463835778</v>
      </c>
      <c r="F90" s="10">
        <f t="shared" si="4"/>
        <v>2.2909438556322215E-2</v>
      </c>
    </row>
    <row r="91" spans="3:6" x14ac:dyDescent="0.45">
      <c r="C91" s="31">
        <f t="shared" si="3"/>
        <v>98</v>
      </c>
      <c r="D91" s="9">
        <v>12.2147239023921</v>
      </c>
      <c r="E91" s="9">
        <v>12.191814463835778</v>
      </c>
      <c r="F91" s="10">
        <f t="shared" si="4"/>
        <v>2.2909438556322215E-2</v>
      </c>
    </row>
    <row r="92" spans="3:6" x14ac:dyDescent="0.45">
      <c r="C92" s="31">
        <f t="shared" si="3"/>
        <v>98.5</v>
      </c>
      <c r="D92" s="9">
        <v>12.2147239023921</v>
      </c>
      <c r="E92" s="9">
        <v>12.191814463835778</v>
      </c>
      <c r="F92" s="10">
        <f t="shared" si="4"/>
        <v>2.2909438556322215E-2</v>
      </c>
    </row>
    <row r="93" spans="3:6" x14ac:dyDescent="0.45">
      <c r="C93" s="31">
        <f t="shared" si="3"/>
        <v>99</v>
      </c>
      <c r="D93" s="9">
        <v>11.666137476717298</v>
      </c>
      <c r="E93" s="9">
        <v>11.705967455040035</v>
      </c>
      <c r="F93" s="10">
        <f t="shared" si="4"/>
        <v>-3.9829978322737603E-2</v>
      </c>
    </row>
    <row r="94" spans="3:6" x14ac:dyDescent="0.45">
      <c r="C94" s="31">
        <f t="shared" si="3"/>
        <v>99.5</v>
      </c>
      <c r="D94" s="9">
        <v>11.117551051042495</v>
      </c>
      <c r="E94" s="9">
        <v>11.23510226900313</v>
      </c>
      <c r="F94" s="10">
        <f t="shared" si="4"/>
        <v>-0.11755121796063506</v>
      </c>
    </row>
    <row r="95" spans="3:6" x14ac:dyDescent="0.45">
      <c r="C95" s="31">
        <v>101</v>
      </c>
      <c r="D95" s="9">
        <v>10.568964625367693</v>
      </c>
      <c r="E95" s="9">
        <v>10.779038498983725</v>
      </c>
      <c r="F95" s="10">
        <f t="shared" si="4"/>
        <v>-0.21007387361603236</v>
      </c>
    </row>
    <row r="96" spans="3:6" x14ac:dyDescent="0.45">
      <c r="C96" s="31">
        <f>C95+2</f>
        <v>103</v>
      </c>
      <c r="D96" s="9">
        <v>9.7775981966023728</v>
      </c>
      <c r="E96" s="9">
        <v>9.9105107345724193</v>
      </c>
      <c r="F96" s="10">
        <f t="shared" si="4"/>
        <v>-0.13291253797004643</v>
      </c>
    </row>
    <row r="97" spans="3:6" x14ac:dyDescent="0.45">
      <c r="C97" s="31">
        <f t="shared" ref="C97:C155" si="5">C96+2</f>
        <v>105</v>
      </c>
      <c r="D97" s="9">
        <v>9.1076294281770185</v>
      </c>
      <c r="E97" s="9">
        <v>9.0986277233113508</v>
      </c>
      <c r="F97" s="10">
        <f t="shared" si="4"/>
        <v>9.0017048656676479E-3</v>
      </c>
    </row>
    <row r="98" spans="3:6" x14ac:dyDescent="0.45">
      <c r="C98" s="31">
        <f t="shared" si="5"/>
        <v>107</v>
      </c>
      <c r="D98" s="9">
        <v>8.4376606597516641</v>
      </c>
      <c r="E98" s="9">
        <v>8.3414257990534573</v>
      </c>
      <c r="F98" s="10">
        <f t="shared" si="4"/>
        <v>9.6234860698206859E-2</v>
      </c>
    </row>
    <row r="99" spans="3:6" x14ac:dyDescent="0.45">
      <c r="C99" s="31">
        <f t="shared" si="5"/>
        <v>109</v>
      </c>
      <c r="D99" s="9">
        <v>7.7676918913263089</v>
      </c>
      <c r="E99" s="9">
        <v>7.6367741457888147</v>
      </c>
      <c r="F99" s="10">
        <f t="shared" si="4"/>
        <v>0.13091774553749413</v>
      </c>
    </row>
    <row r="100" spans="3:6" x14ac:dyDescent="0.45">
      <c r="C100" s="31">
        <f t="shared" si="5"/>
        <v>111</v>
      </c>
      <c r="D100" s="9">
        <v>7.0977231229009563</v>
      </c>
      <c r="E100" s="9">
        <v>6.9824129705464113</v>
      </c>
      <c r="F100" s="10">
        <f t="shared" si="4"/>
        <v>0.115310152354545</v>
      </c>
    </row>
    <row r="101" spans="3:6" x14ac:dyDescent="0.45">
      <c r="C101" s="31">
        <f t="shared" si="5"/>
        <v>113</v>
      </c>
      <c r="D101" s="9">
        <v>6.4277543544756028</v>
      </c>
      <c r="E101" s="9">
        <v>6.3759892050947009</v>
      </c>
      <c r="F101" s="10">
        <f t="shared" si="4"/>
        <v>5.1765149380901931E-2</v>
      </c>
    </row>
    <row r="102" spans="3:6" x14ac:dyDescent="0.45">
      <c r="C102" s="31">
        <f t="shared" si="5"/>
        <v>115</v>
      </c>
      <c r="D102" s="9">
        <v>5.7577855860502485</v>
      </c>
      <c r="E102" s="9">
        <v>5.8150893326189923</v>
      </c>
      <c r="F102" s="10">
        <f t="shared" si="4"/>
        <v>-5.7303746568743819E-2</v>
      </c>
    </row>
    <row r="103" spans="3:6" x14ac:dyDescent="0.45">
      <c r="C103" s="31">
        <f t="shared" si="5"/>
        <v>117</v>
      </c>
      <c r="D103" s="9">
        <v>5.087816817624895</v>
      </c>
      <c r="E103" s="9">
        <v>5.2972690801791176</v>
      </c>
      <c r="F103" s="10">
        <f t="shared" si="4"/>
        <v>-0.20945226255422256</v>
      </c>
    </row>
    <row r="104" spans="3:6" x14ac:dyDescent="0.45">
      <c r="C104" s="31">
        <f t="shared" si="5"/>
        <v>119</v>
      </c>
      <c r="D104" s="9">
        <v>4.6893065274005012</v>
      </c>
      <c r="E104" s="9">
        <v>4.8200798428216052</v>
      </c>
      <c r="F104" s="10">
        <f t="shared" si="4"/>
        <v>-0.13077331542110393</v>
      </c>
    </row>
    <row r="105" spans="3:6" x14ac:dyDescent="0.45">
      <c r="C105" s="31">
        <f t="shared" si="5"/>
        <v>121</v>
      </c>
      <c r="D105" s="9">
        <v>4.3608421396218899</v>
      </c>
      <c r="E105" s="9">
        <v>4.3810918102952519</v>
      </c>
      <c r="F105" s="10">
        <f t="shared" si="4"/>
        <v>-2.0249670673361919E-2</v>
      </c>
    </row>
    <row r="106" spans="3:6" x14ac:dyDescent="0.45">
      <c r="C106" s="31">
        <f t="shared" si="5"/>
        <v>123</v>
      </c>
      <c r="D106" s="9">
        <v>4.0323777518432768</v>
      </c>
      <c r="E106" s="9">
        <v>3.9779138529107283</v>
      </c>
      <c r="F106" s="10">
        <f t="shared" si="4"/>
        <v>5.4463898932548549E-2</v>
      </c>
    </row>
    <row r="107" spans="3:6" x14ac:dyDescent="0.45">
      <c r="C107" s="31">
        <f t="shared" si="5"/>
        <v>125</v>
      </c>
      <c r="D107" s="9">
        <v>3.7039133640646669</v>
      </c>
      <c r="E107" s="9">
        <v>3.608210290381483</v>
      </c>
      <c r="F107" s="10">
        <f t="shared" si="4"/>
        <v>9.570307368318387E-2</v>
      </c>
    </row>
    <row r="108" spans="3:6" x14ac:dyDescent="0.45">
      <c r="C108" s="31">
        <f t="shared" si="5"/>
        <v>127</v>
      </c>
      <c r="D108" s="9">
        <v>3.3754489762860542</v>
      </c>
      <c r="E108" s="9">
        <v>3.2697147181329331</v>
      </c>
      <c r="F108" s="10">
        <f t="shared" si="4"/>
        <v>0.1057342581531211</v>
      </c>
    </row>
    <row r="109" spans="3:6" x14ac:dyDescent="0.45">
      <c r="C109" s="31">
        <f t="shared" si="5"/>
        <v>129</v>
      </c>
      <c r="D109" s="9">
        <v>3.0469845885074429</v>
      </c>
      <c r="E109" s="9">
        <v>2.9602411014706673</v>
      </c>
      <c r="F109" s="10">
        <f t="shared" si="4"/>
        <v>8.6743487036775591E-2</v>
      </c>
    </row>
    <row r="110" spans="3:6" x14ac:dyDescent="0.45">
      <c r="C110" s="31">
        <f t="shared" si="5"/>
        <v>131</v>
      </c>
      <c r="D110" s="9">
        <v>2.7185202007288316</v>
      </c>
      <c r="E110" s="9">
        <v>2.677692371177558</v>
      </c>
      <c r="F110" s="10">
        <f t="shared" si="4"/>
        <v>4.082782955127362E-2</v>
      </c>
    </row>
    <row r="111" spans="3:6" x14ac:dyDescent="0.45">
      <c r="C111" s="31">
        <f t="shared" si="5"/>
        <v>133</v>
      </c>
      <c r="D111" s="9">
        <v>2.3900558129502203</v>
      </c>
      <c r="E111" s="9">
        <v>2.4200667665743247</v>
      </c>
      <c r="F111" s="10">
        <f t="shared" si="4"/>
        <v>-3.0010953624104442E-2</v>
      </c>
    </row>
    <row r="112" spans="3:6" x14ac:dyDescent="0.45">
      <c r="C112" s="31">
        <f t="shared" si="5"/>
        <v>135</v>
      </c>
      <c r="D112" s="9">
        <v>2.061591425171609</v>
      </c>
      <c r="E112" s="9">
        <v>2.1854621757584254</v>
      </c>
      <c r="F112" s="10">
        <f t="shared" si="4"/>
        <v>-0.1238707505868164</v>
      </c>
    </row>
    <row r="113" spans="3:6" x14ac:dyDescent="0.45">
      <c r="C113" s="31">
        <f t="shared" si="5"/>
        <v>137</v>
      </c>
      <c r="D113" s="9">
        <v>1.862162669882012</v>
      </c>
      <c r="E113" s="9">
        <v>1.9720787194151932</v>
      </c>
      <c r="F113" s="10">
        <f t="shared" si="4"/>
        <v>-0.10991604953318124</v>
      </c>
    </row>
    <row r="114" spans="3:6" x14ac:dyDescent="0.45">
      <c r="C114" s="31">
        <f t="shared" si="5"/>
        <v>139</v>
      </c>
      <c r="D114" s="9">
        <v>1.7357908175038019</v>
      </c>
      <c r="E114" s="9">
        <v>1.7782198158807776</v>
      </c>
      <c r="F114" s="10">
        <f t="shared" si="4"/>
        <v>-4.2428998376975668E-2</v>
      </c>
    </row>
    <row r="115" spans="3:6" x14ac:dyDescent="0.45">
      <c r="C115" s="31">
        <f t="shared" si="5"/>
        <v>141</v>
      </c>
      <c r="D115" s="9">
        <v>1.6094189651255919</v>
      </c>
      <c r="E115" s="9">
        <v>1.6022919524395991</v>
      </c>
      <c r="F115" s="10">
        <f t="shared" ref="F115:F146" si="6">$D115-$E115</f>
        <v>7.1270126859928062E-3</v>
      </c>
    </row>
    <row r="116" spans="3:6" x14ac:dyDescent="0.45">
      <c r="C116" s="31">
        <f t="shared" si="5"/>
        <v>143</v>
      </c>
      <c r="D116" s="9">
        <v>1.4830471127473812</v>
      </c>
      <c r="E116" s="9">
        <v>1.4428033723743852</v>
      </c>
      <c r="F116" s="10">
        <f t="shared" si="6"/>
        <v>4.0243740372996051E-2</v>
      </c>
    </row>
    <row r="117" spans="3:6" x14ac:dyDescent="0.45">
      <c r="C117" s="31">
        <f t="shared" si="5"/>
        <v>145</v>
      </c>
      <c r="D117" s="9">
        <v>1.3566752603691707</v>
      </c>
      <c r="E117" s="9">
        <v>1.2983618700710831</v>
      </c>
      <c r="F117" s="10">
        <f t="shared" si="6"/>
        <v>5.8313390298087686E-2</v>
      </c>
    </row>
    <row r="118" spans="3:6" x14ac:dyDescent="0.45">
      <c r="C118" s="31">
        <f t="shared" si="5"/>
        <v>147</v>
      </c>
      <c r="D118" s="9">
        <v>1.2303034079909603</v>
      </c>
      <c r="E118" s="9">
        <v>1.1676718683517138</v>
      </c>
      <c r="F118" s="10">
        <f t="shared" si="6"/>
        <v>6.2631539639246503E-2</v>
      </c>
    </row>
    <row r="119" spans="3:6" x14ac:dyDescent="0.45">
      <c r="C119" s="31">
        <f t="shared" si="5"/>
        <v>149</v>
      </c>
      <c r="D119" s="9">
        <v>1.1039315556127502</v>
      </c>
      <c r="E119" s="9">
        <v>1.0495309338360239</v>
      </c>
      <c r="F119" s="10">
        <f t="shared" si="6"/>
        <v>5.4400621776726332E-2</v>
      </c>
    </row>
    <row r="120" spans="3:6" x14ac:dyDescent="0.45">
      <c r="C120" s="31">
        <f t="shared" si="5"/>
        <v>151</v>
      </c>
      <c r="D120" s="9">
        <v>0.97755970323453978</v>
      </c>
      <c r="E120" s="9">
        <v>0.94282586803849922</v>
      </c>
      <c r="F120" s="10">
        <f t="shared" si="6"/>
        <v>3.4733835196040563E-2</v>
      </c>
    </row>
    <row r="121" spans="3:6" x14ac:dyDescent="0.45">
      <c r="C121" s="31">
        <f t="shared" si="5"/>
        <v>153</v>
      </c>
      <c r="D121" s="9">
        <v>0.85118785085632942</v>
      </c>
      <c r="E121" s="9">
        <v>0.84652849448570588</v>
      </c>
      <c r="F121" s="10">
        <f t="shared" si="6"/>
        <v>4.6593563706235352E-3</v>
      </c>
    </row>
    <row r="122" spans="3:6" x14ac:dyDescent="0.45">
      <c r="C122" s="31">
        <f t="shared" si="5"/>
        <v>155</v>
      </c>
      <c r="D122" s="9">
        <v>0.72481599847811906</v>
      </c>
      <c r="E122" s="9">
        <v>0.7596912456725915</v>
      </c>
      <c r="F122" s="10">
        <f t="shared" si="6"/>
        <v>-3.4875247194472436E-2</v>
      </c>
    </row>
    <row r="123" spans="3:6" x14ac:dyDescent="0.45">
      <c r="C123" s="31">
        <f t="shared" si="5"/>
        <v>157</v>
      </c>
      <c r="D123" s="9">
        <v>0.60323866898131839</v>
      </c>
      <c r="E123" s="9">
        <v>0.68144263835667107</v>
      </c>
      <c r="F123" s="10">
        <f t="shared" si="6"/>
        <v>-7.8203969375352678E-2</v>
      </c>
    </row>
    <row r="124" spans="3:6" x14ac:dyDescent="0.45">
      <c r="C124" s="31">
        <f t="shared" si="5"/>
        <v>159</v>
      </c>
      <c r="D124" s="9">
        <v>0.56572267929642683</v>
      </c>
      <c r="E124" s="9">
        <v>0.61098271163201234</v>
      </c>
      <c r="F124" s="10">
        <f t="shared" si="6"/>
        <v>-4.5260032335585509E-2</v>
      </c>
    </row>
    <row r="125" spans="3:6" x14ac:dyDescent="0.45">
      <c r="C125" s="31">
        <f t="shared" si="5"/>
        <v>161</v>
      </c>
      <c r="D125" s="9">
        <v>0.52820668961153527</v>
      </c>
      <c r="E125" s="9">
        <v>0.54757848948624954</v>
      </c>
      <c r="F125" s="10">
        <f t="shared" si="6"/>
        <v>-1.9371799874714268E-2</v>
      </c>
    </row>
    <row r="126" spans="3:6" x14ac:dyDescent="0.45">
      <c r="C126" s="31">
        <f t="shared" si="5"/>
        <v>163</v>
      </c>
      <c r="D126" s="9">
        <v>0.49069069992664366</v>
      </c>
      <c r="E126" s="9">
        <v>0.49055951813050525</v>
      </c>
      <c r="F126" s="10">
        <f t="shared" si="6"/>
        <v>1.3118179613841319E-4</v>
      </c>
    </row>
    <row r="127" spans="3:6" x14ac:dyDescent="0.45">
      <c r="C127" s="31">
        <f t="shared" si="5"/>
        <v>165</v>
      </c>
      <c r="D127" s="9">
        <v>0.4531747102417521</v>
      </c>
      <c r="E127" s="9">
        <v>0.43931351827718895</v>
      </c>
      <c r="F127" s="10">
        <f t="shared" si="6"/>
        <v>1.3861191964563147E-2</v>
      </c>
    </row>
    <row r="128" spans="3:6" x14ac:dyDescent="0.45">
      <c r="C128" s="31">
        <f t="shared" si="5"/>
        <v>167</v>
      </c>
      <c r="D128" s="9">
        <v>0.41565872055686054</v>
      </c>
      <c r="E128" s="9">
        <v>0.39328218366842022</v>
      </c>
      <c r="F128" s="10">
        <f t="shared" si="6"/>
        <v>2.2376536888440324E-2</v>
      </c>
    </row>
    <row r="129" spans="3:6" x14ac:dyDescent="0.45">
      <c r="C129" s="31">
        <f t="shared" si="5"/>
        <v>169</v>
      </c>
      <c r="D129" s="9">
        <v>0.37814273087196892</v>
      </c>
      <c r="E129" s="9">
        <v>0.35195714945573298</v>
      </c>
      <c r="F129" s="10">
        <f t="shared" si="6"/>
        <v>2.6185581416235948E-2</v>
      </c>
    </row>
    <row r="130" spans="3:6" x14ac:dyDescent="0.45">
      <c r="C130" s="31">
        <f t="shared" si="5"/>
        <v>171</v>
      </c>
      <c r="D130" s="9">
        <v>0.34062674118707742</v>
      </c>
      <c r="E130" s="9">
        <v>0.31487614741416703</v>
      </c>
      <c r="F130" s="10">
        <f t="shared" si="6"/>
        <v>2.5750593772910391E-2</v>
      </c>
    </row>
    <row r="131" spans="3:6" x14ac:dyDescent="0.45">
      <c r="C131" s="31">
        <f t="shared" si="5"/>
        <v>173</v>
      </c>
      <c r="D131" s="9">
        <v>0.30311075150218592</v>
      </c>
      <c r="E131" s="9">
        <v>0.28161935934918014</v>
      </c>
      <c r="F131" s="10">
        <f t="shared" si="6"/>
        <v>2.1491392153005773E-2</v>
      </c>
    </row>
    <row r="132" spans="3:6" x14ac:dyDescent="0.45">
      <c r="C132" s="31">
        <f t="shared" si="5"/>
        <v>175</v>
      </c>
      <c r="D132" s="9">
        <v>0.2655947618172943</v>
      </c>
      <c r="E132" s="9">
        <v>0.25180597532805038</v>
      </c>
      <c r="F132" s="10">
        <f t="shared" si="6"/>
        <v>1.378878648924392E-2</v>
      </c>
    </row>
    <row r="133" spans="3:6" x14ac:dyDescent="0.45">
      <c r="C133" s="31">
        <f t="shared" si="5"/>
        <v>177</v>
      </c>
      <c r="D133" s="9">
        <v>0.22807877213240274</v>
      </c>
      <c r="E133" s="9">
        <v>0.22509095944462529</v>
      </c>
      <c r="F133" s="10">
        <f t="shared" si="6"/>
        <v>2.9878126877774525E-3</v>
      </c>
    </row>
    <row r="134" spans="3:6" x14ac:dyDescent="0.45">
      <c r="C134" s="31">
        <f t="shared" si="5"/>
        <v>179</v>
      </c>
      <c r="D134" s="9">
        <v>0.19056278244751115</v>
      </c>
      <c r="E134" s="9">
        <v>0.20116202261609467</v>
      </c>
      <c r="F134" s="10">
        <f t="shared" si="6"/>
        <v>-1.0599240168583518E-2</v>
      </c>
    </row>
    <row r="135" spans="3:6" x14ac:dyDescent="0.45">
      <c r="C135" s="31">
        <f t="shared" si="5"/>
        <v>181</v>
      </c>
      <c r="D135" s="9">
        <v>0.15304679276261962</v>
      </c>
      <c r="E135" s="9">
        <v>0.17973679932572437</v>
      </c>
      <c r="F135" s="10">
        <f t="shared" si="6"/>
        <v>-2.6690006563104746E-2</v>
      </c>
    </row>
    <row r="136" spans="3:6" x14ac:dyDescent="0.45">
      <c r="C136" s="31">
        <f t="shared" si="5"/>
        <v>183</v>
      </c>
      <c r="D136" s="9">
        <v>0.13931899149258298</v>
      </c>
      <c r="E136" s="9">
        <v>0.16056022318547244</v>
      </c>
      <c r="F136" s="10">
        <f t="shared" si="6"/>
        <v>-2.1241231692889467E-2</v>
      </c>
    </row>
    <row r="137" spans="3:6" x14ac:dyDescent="0.45">
      <c r="C137" s="31">
        <f t="shared" si="5"/>
        <v>185</v>
      </c>
      <c r="D137" s="9">
        <v>0.13086543157878139</v>
      </c>
      <c r="E137" s="9">
        <v>0.14340209462157763</v>
      </c>
      <c r="F137" s="10">
        <f t="shared" si="6"/>
        <v>-1.2536663042796242E-2</v>
      </c>
    </row>
    <row r="138" spans="3:6" x14ac:dyDescent="0.45">
      <c r="C138" s="31">
        <f t="shared" si="5"/>
        <v>187</v>
      </c>
      <c r="D138" s="9">
        <v>0.12241187166497981</v>
      </c>
      <c r="E138" s="9">
        <v>0.12805483281671612</v>
      </c>
      <c r="F138" s="10">
        <f t="shared" si="6"/>
        <v>-5.642961151736306E-3</v>
      </c>
    </row>
    <row r="139" spans="3:6" x14ac:dyDescent="0.45">
      <c r="C139" s="31">
        <f t="shared" si="5"/>
        <v>189</v>
      </c>
      <c r="D139" s="9">
        <v>0.11395831175117822</v>
      </c>
      <c r="E139" s="9">
        <v>0.11433140321209652</v>
      </c>
      <c r="F139" s="10">
        <f t="shared" si="6"/>
        <v>-3.7309146091829559E-4</v>
      </c>
    </row>
    <row r="140" spans="3:6" x14ac:dyDescent="0.45">
      <c r="C140" s="31">
        <f t="shared" si="5"/>
        <v>191</v>
      </c>
      <c r="D140" s="9">
        <v>0.10550475183737662</v>
      </c>
      <c r="E140" s="9">
        <v>0.10206341132735745</v>
      </c>
      <c r="F140" s="10">
        <f t="shared" si="6"/>
        <v>3.4413405100191669E-3</v>
      </c>
    </row>
    <row r="141" spans="3:6" x14ac:dyDescent="0.45">
      <c r="C141" s="31">
        <f t="shared" si="5"/>
        <v>193</v>
      </c>
      <c r="D141" s="9">
        <v>9.7051191923574989E-2</v>
      </c>
      <c r="E141" s="9">
        <v>9.1099353346055775E-2</v>
      </c>
      <c r="F141" s="10">
        <f t="shared" si="6"/>
        <v>5.951838577519214E-3</v>
      </c>
    </row>
    <row r="142" spans="3:6" x14ac:dyDescent="0.45">
      <c r="C142" s="31">
        <f t="shared" si="5"/>
        <v>195</v>
      </c>
      <c r="D142" s="9">
        <v>8.85976320097734E-2</v>
      </c>
      <c r="E142" s="9">
        <v>8.130301379764597E-2</v>
      </c>
      <c r="F142" s="10">
        <f t="shared" si="6"/>
        <v>7.2946182121274294E-3</v>
      </c>
    </row>
    <row r="143" spans="3:6" x14ac:dyDescent="0.45">
      <c r="C143" s="31">
        <f t="shared" si="5"/>
        <v>197</v>
      </c>
      <c r="D143" s="9">
        <v>8.0144072095971824E-2</v>
      </c>
      <c r="E143" s="9">
        <v>7.2552000705649239E-2</v>
      </c>
      <c r="F143" s="10">
        <f t="shared" si="6"/>
        <v>7.5920713903225856E-3</v>
      </c>
    </row>
    <row r="144" spans="3:6" x14ac:dyDescent="0.45">
      <c r="C144" s="31">
        <f t="shared" si="5"/>
        <v>199</v>
      </c>
      <c r="D144" s="9">
        <v>7.1690512182170235E-2</v>
      </c>
      <c r="E144" s="9">
        <v>6.4736408734033454E-2</v>
      </c>
      <c r="F144" s="10">
        <f t="shared" si="6"/>
        <v>6.9541034481367808E-3</v>
      </c>
    </row>
    <row r="145" spans="3:6" x14ac:dyDescent="0.45">
      <c r="C145" s="31">
        <f t="shared" si="5"/>
        <v>201</v>
      </c>
      <c r="D145" s="9">
        <v>6.3236952268368632E-2</v>
      </c>
      <c r="E145" s="9">
        <v>5.7757601122394815E-2</v>
      </c>
      <c r="F145" s="10">
        <f t="shared" si="6"/>
        <v>5.4793511459738167E-3</v>
      </c>
    </row>
    <row r="146" spans="3:6" x14ac:dyDescent="0.45">
      <c r="C146" s="31">
        <f t="shared" si="5"/>
        <v>203</v>
      </c>
      <c r="D146" s="9">
        <v>5.4783392354567029E-2</v>
      </c>
      <c r="E146" s="9">
        <v>5.1527101531631793E-2</v>
      </c>
      <c r="F146" s="10">
        <f t="shared" si="6"/>
        <v>3.2562908229352358E-3</v>
      </c>
    </row>
    <row r="147" spans="3:6" x14ac:dyDescent="0.45">
      <c r="C147" s="31">
        <f t="shared" si="5"/>
        <v>205</v>
      </c>
      <c r="D147" s="9">
        <v>4.6329832440765439E-2</v>
      </c>
      <c r="E147" s="9">
        <v>4.5965587306003267E-2</v>
      </c>
      <c r="F147" s="10">
        <f t="shared" ref="F147:F155" si="7">$D147-$E147</f>
        <v>3.642451347621728E-4</v>
      </c>
    </row>
    <row r="148" spans="3:6" x14ac:dyDescent="0.45">
      <c r="C148" s="31">
        <f t="shared" si="5"/>
        <v>207</v>
      </c>
      <c r="D148" s="9">
        <v>3.7876272526963829E-2</v>
      </c>
      <c r="E148" s="9">
        <v>4.1001976078178751E-2</v>
      </c>
      <c r="F148" s="10">
        <f t="shared" si="7"/>
        <v>-3.1257035512149214E-3</v>
      </c>
    </row>
    <row r="149" spans="3:6" x14ac:dyDescent="0.45">
      <c r="C149" s="31">
        <f t="shared" si="5"/>
        <v>209</v>
      </c>
      <c r="D149" s="9">
        <v>2.942271261316225E-2</v>
      </c>
      <c r="E149" s="9">
        <v>3.6572598087539071E-2</v>
      </c>
      <c r="F149" s="10">
        <f t="shared" si="7"/>
        <v>-7.1498854743768207E-3</v>
      </c>
    </row>
    <row r="150" spans="3:6" x14ac:dyDescent="0.45">
      <c r="C150" s="31">
        <f t="shared" si="5"/>
        <v>211</v>
      </c>
      <c r="D150" s="9">
        <v>2.571797877448186E-2</v>
      </c>
      <c r="E150" s="9">
        <v>3.2620447037537921E-2</v>
      </c>
      <c r="F150" s="10">
        <f t="shared" si="7"/>
        <v>-6.9024682630560615E-3</v>
      </c>
    </row>
    <row r="151" spans="3:6" x14ac:dyDescent="0.45">
      <c r="C151" s="31">
        <f t="shared" si="5"/>
        <v>213</v>
      </c>
      <c r="D151" s="9">
        <v>2.4302967448755017E-2</v>
      </c>
      <c r="E151" s="9">
        <v>2.9094502776297437E-2</v>
      </c>
      <c r="F151" s="10">
        <f t="shared" si="7"/>
        <v>-4.7915353275424198E-3</v>
      </c>
    </row>
    <row r="152" spans="3:6" x14ac:dyDescent="0.45">
      <c r="C152" s="31">
        <f t="shared" si="5"/>
        <v>215</v>
      </c>
      <c r="D152" s="9">
        <v>2.2887956123028172E-2</v>
      </c>
      <c r="E152" s="9">
        <v>2.5949119538821067E-2</v>
      </c>
      <c r="F152" s="10">
        <f t="shared" si="7"/>
        <v>-3.0611634157928953E-3</v>
      </c>
    </row>
    <row r="153" spans="3:6" x14ac:dyDescent="0.45">
      <c r="C153" s="31">
        <f t="shared" si="5"/>
        <v>217</v>
      </c>
      <c r="D153" s="9">
        <v>2.1472944797301326E-2</v>
      </c>
      <c r="E153" s="9">
        <v>2.3143473933521282E-2</v>
      </c>
      <c r="F153" s="10">
        <f t="shared" si="7"/>
        <v>-1.6705291362199559E-3</v>
      </c>
    </row>
    <row r="154" spans="3:6" x14ac:dyDescent="0.45">
      <c r="C154" s="31">
        <f t="shared" si="5"/>
        <v>219</v>
      </c>
      <c r="D154" s="9">
        <v>2.0057933471574481E-2</v>
      </c>
      <c r="E154" s="9">
        <v>2.0641067286087125E-2</v>
      </c>
      <c r="F154" s="10">
        <f t="shared" si="7"/>
        <v>-5.831338145126444E-4</v>
      </c>
    </row>
    <row r="155" spans="3:6" ht="14.65" thickBot="1" x14ac:dyDescent="0.5">
      <c r="C155" s="32">
        <f t="shared" si="5"/>
        <v>221</v>
      </c>
      <c r="D155" s="11">
        <v>1.8642922145847639E-2</v>
      </c>
      <c r="E155" s="11">
        <v>1.840927736682374E-2</v>
      </c>
      <c r="F155" s="12">
        <f t="shared" si="7"/>
        <v>2.3364477902389907E-4</v>
      </c>
    </row>
  </sheetData>
  <mergeCells count="4">
    <mergeCell ref="H50:I56"/>
    <mergeCell ref="I18:J24"/>
    <mergeCell ref="C9:D9"/>
    <mergeCell ref="F9:G1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A2E93-FA99-436C-B069-F37777563E55}">
  <sheetPr codeName="Feuil2"/>
  <dimension ref="B10:V42"/>
  <sheetViews>
    <sheetView zoomScale="64" workbookViewId="0">
      <selection activeCell="V49" sqref="V49"/>
    </sheetView>
  </sheetViews>
  <sheetFormatPr baseColWidth="10" defaultRowHeight="14.25" x14ac:dyDescent="0.45"/>
  <cols>
    <col min="1" max="16384" width="10.6640625" style="42"/>
  </cols>
  <sheetData>
    <row r="10" spans="12:22" x14ac:dyDescent="0.45">
      <c r="V10" s="42">
        <v>12.301683362509934</v>
      </c>
    </row>
    <row r="11" spans="12:22" x14ac:dyDescent="0.45">
      <c r="S11" s="42">
        <v>11.227411471379774</v>
      </c>
      <c r="T11" s="42">
        <v>11.358812158900427</v>
      </c>
      <c r="U11" s="42">
        <v>11.521204857279578</v>
      </c>
      <c r="V11" s="42">
        <v>11.53017279004888</v>
      </c>
    </row>
    <row r="12" spans="12:22" x14ac:dyDescent="0.45">
      <c r="Q12" s="42">
        <v>10.519115312929593</v>
      </c>
      <c r="R12" s="42">
        <v>10.667716393471878</v>
      </c>
      <c r="S12" s="42">
        <v>10.713354497139651</v>
      </c>
      <c r="T12" s="42">
        <v>10.747178305640139</v>
      </c>
      <c r="U12" s="42">
        <v>10.755543747770393</v>
      </c>
      <c r="V12" s="42">
        <v>10.763915701435153</v>
      </c>
    </row>
    <row r="13" spans="12:22" x14ac:dyDescent="0.45">
      <c r="P13" s="42">
        <v>9.9136638542994024</v>
      </c>
      <c r="Q13" s="42">
        <v>9.9508066108931548</v>
      </c>
      <c r="R13" s="42">
        <v>9.9675661079074054</v>
      </c>
      <c r="S13" s="42">
        <v>9.9795543742473409</v>
      </c>
      <c r="T13" s="42">
        <v>9.9873223094419448</v>
      </c>
      <c r="U13" s="42">
        <v>9.995096291080646</v>
      </c>
      <c r="V13" s="42">
        <v>10.00287632386987</v>
      </c>
    </row>
    <row r="14" spans="12:22" x14ac:dyDescent="0.45">
      <c r="N14" s="42">
        <v>9.0328320295050197</v>
      </c>
      <c r="O14" s="42">
        <v>9.1879239473257019</v>
      </c>
      <c r="P14" s="42">
        <v>9.2012870600615102</v>
      </c>
      <c r="Q14" s="42">
        <v>9.2104128653356465</v>
      </c>
      <c r="R14" s="42">
        <v>9.2182841041172523</v>
      </c>
      <c r="S14" s="42">
        <v>9.2254594779707322</v>
      </c>
      <c r="T14" s="42">
        <v>9.2326404370274044</v>
      </c>
      <c r="U14" s="42">
        <v>9.2398269856347657</v>
      </c>
      <c r="V14" s="42">
        <v>9.2470191281436058</v>
      </c>
    </row>
    <row r="15" spans="12:22" x14ac:dyDescent="0.45">
      <c r="M15" s="42">
        <v>8.4097646321570796</v>
      </c>
      <c r="N15" s="42">
        <v>8.4417654320195954</v>
      </c>
      <c r="O15" s="42">
        <v>8.4496393025800565</v>
      </c>
      <c r="P15" s="42">
        <v>8.456619893220779</v>
      </c>
      <c r="Q15" s="42">
        <v>8.4633189077878441</v>
      </c>
      <c r="R15" s="42">
        <v>8.4699066280749342</v>
      </c>
      <c r="S15" s="42">
        <v>8.4764994761444967</v>
      </c>
      <c r="T15" s="42">
        <v>8.4830974559879309</v>
      </c>
      <c r="U15" s="42">
        <v>8.4897005715997906</v>
      </c>
      <c r="V15" s="42">
        <v>8.4963088269776534</v>
      </c>
    </row>
    <row r="16" spans="12:22" x14ac:dyDescent="0.45">
      <c r="L16" s="42">
        <v>7.685865306624839</v>
      </c>
      <c r="M16" s="42">
        <v>7.696254979014066</v>
      </c>
      <c r="N16" s="42">
        <v>7.7025156032882789</v>
      </c>
      <c r="O16" s="42">
        <v>7.7085909782953612</v>
      </c>
      <c r="P16" s="42">
        <v>7.7146105665019462</v>
      </c>
      <c r="Q16" s="42">
        <v>7.7206155034645363</v>
      </c>
      <c r="R16" s="42">
        <v>7.7266251145798863</v>
      </c>
      <c r="S16" s="42">
        <v>7.7326394034862087</v>
      </c>
      <c r="T16" s="42">
        <v>7.7386583738246628</v>
      </c>
      <c r="U16" s="42">
        <v>7.7446820292392298</v>
      </c>
      <c r="V16" s="42">
        <v>7.7507103733766911</v>
      </c>
    </row>
    <row r="17" spans="2:22" x14ac:dyDescent="0.45">
      <c r="K17" s="42">
        <v>6.9496037898827128</v>
      </c>
      <c r="L17" s="42">
        <v>6.9557819075542762</v>
      </c>
      <c r="M17" s="42">
        <v>6.9612513306177233</v>
      </c>
      <c r="N17" s="42">
        <v>6.9666852549700167</v>
      </c>
      <c r="O17" s="42">
        <v>6.9721112274113137</v>
      </c>
      <c r="P17" s="42">
        <v>6.9775382140434923</v>
      </c>
      <c r="Q17" s="42">
        <v>6.9829694249605367</v>
      </c>
      <c r="R17" s="42">
        <v>6.9884048634505689</v>
      </c>
      <c r="S17" s="42">
        <v>6.9938445328042675</v>
      </c>
      <c r="T17" s="42">
        <v>6.9992884363148375</v>
      </c>
      <c r="U17" s="42">
        <v>7.0047365772781554</v>
      </c>
      <c r="V17" s="42">
        <v>7.0101889589925435</v>
      </c>
    </row>
    <row r="18" spans="2:22" x14ac:dyDescent="0.45">
      <c r="J18" s="42">
        <v>6.2162476017880239</v>
      </c>
      <c r="K18" s="42">
        <v>6.2212204246973313</v>
      </c>
      <c r="L18" s="42">
        <v>6.2260737172607499</v>
      </c>
      <c r="M18" s="42">
        <v>6.2309228239799559</v>
      </c>
      <c r="N18" s="42">
        <v>6.2357734008023105</v>
      </c>
      <c r="O18" s="42">
        <v>6.2406272331328392</v>
      </c>
      <c r="P18" s="42">
        <v>6.2454848436135038</v>
      </c>
      <c r="Q18" s="42">
        <v>6.2503462351851864</v>
      </c>
      <c r="R18" s="42">
        <v>6.2552114107910626</v>
      </c>
      <c r="S18" s="42">
        <v>6.2600803733765051</v>
      </c>
      <c r="T18" s="42">
        <v>6.2649531258892601</v>
      </c>
      <c r="U18" s="42">
        <v>6.2698296712794104</v>
      </c>
      <c r="V18" s="42">
        <v>6.2747100124992272</v>
      </c>
    </row>
    <row r="19" spans="2:22" x14ac:dyDescent="0.45">
      <c r="I19" s="42">
        <v>5.4884441507348711</v>
      </c>
      <c r="J19" s="42">
        <v>5.492725074822487</v>
      </c>
      <c r="K19" s="42">
        <v>5.496994484543146</v>
      </c>
      <c r="L19" s="42">
        <v>5.5012698561785243</v>
      </c>
      <c r="M19" s="42">
        <v>5.5055504890829541</v>
      </c>
      <c r="N19" s="42">
        <v>5.5098354696764495</v>
      </c>
      <c r="O19" s="42">
        <v>5.5141241678081396</v>
      </c>
      <c r="P19" s="42">
        <v>5.518416279217548</v>
      </c>
      <c r="Q19" s="42">
        <v>5.5227117315419951</v>
      </c>
      <c r="R19" s="42">
        <v>5.5270105273820427</v>
      </c>
      <c r="S19" s="42">
        <v>5.5313126693401458</v>
      </c>
      <c r="T19" s="42">
        <v>5.5356181600209</v>
      </c>
      <c r="U19" s="42">
        <v>5.5399270020309404</v>
      </c>
      <c r="V19" s="42">
        <v>5.5442391979788965</v>
      </c>
    </row>
    <row r="20" spans="2:22" x14ac:dyDescent="0.45">
      <c r="H20" s="42">
        <v>4.7668631064387847</v>
      </c>
      <c r="I20" s="42">
        <v>4.7704507460921182</v>
      </c>
      <c r="J20" s="42">
        <v>4.774076634709064</v>
      </c>
      <c r="K20" s="42">
        <v>4.7777361968380188</v>
      </c>
      <c r="L20" s="42">
        <v>4.7814218047522257</v>
      </c>
      <c r="M20" s="42">
        <v>4.7851262740139484</v>
      </c>
      <c r="N20" s="42">
        <v>4.7888434362403522</v>
      </c>
      <c r="O20" s="42">
        <v>4.7925685631425132</v>
      </c>
      <c r="P20" s="42">
        <v>4.7962985775774669</v>
      </c>
      <c r="Q20" s="42">
        <v>4.8000319443318578</v>
      </c>
      <c r="R20" s="42">
        <v>4.803768217082899</v>
      </c>
      <c r="S20" s="42">
        <v>4.8075073980924747</v>
      </c>
      <c r="T20" s="42">
        <v>4.8112494896243554</v>
      </c>
      <c r="U20" s="42">
        <v>4.8149944939440932</v>
      </c>
      <c r="V20" s="42">
        <v>4.818742413318958</v>
      </c>
    </row>
    <row r="21" spans="2:22" x14ac:dyDescent="0.45">
      <c r="G21" s="42">
        <v>4.0529171495602805</v>
      </c>
      <c r="H21" s="42">
        <v>4.0554355078149467</v>
      </c>
      <c r="I21" s="42">
        <v>4.058080786394469</v>
      </c>
      <c r="J21" s="42">
        <v>4.0608440866421205</v>
      </c>
      <c r="K21" s="42">
        <v>4.0637134777419632</v>
      </c>
      <c r="L21" s="42">
        <v>4.0666746288325255</v>
      </c>
      <c r="M21" s="42">
        <v>4.0697112296641178</v>
      </c>
      <c r="N21" s="42">
        <v>4.072805783843811</v>
      </c>
      <c r="O21" s="42">
        <v>4.0759408530283787</v>
      </c>
      <c r="P21" s="42">
        <v>4.0791007109590049</v>
      </c>
      <c r="Q21" s="42">
        <v>4.0822731351671413</v>
      </c>
      <c r="R21" s="42">
        <v>4.0854507152445514</v>
      </c>
      <c r="S21" s="42">
        <v>4.0886307687025107</v>
      </c>
      <c r="T21" s="42">
        <v>4.0918132974663077</v>
      </c>
      <c r="U21" s="42">
        <v>4.0949983034626953</v>
      </c>
      <c r="V21" s="42">
        <v>4.0981857886199293</v>
      </c>
    </row>
    <row r="22" spans="2:22" x14ac:dyDescent="0.45">
      <c r="F22" s="42">
        <v>3.3514707153126921</v>
      </c>
      <c r="G22" s="42">
        <v>3.3519432944320768</v>
      </c>
      <c r="H22" s="42">
        <v>3.352657481928063</v>
      </c>
      <c r="I22" s="42">
        <v>3.3536196114588033</v>
      </c>
      <c r="J22" s="42">
        <v>3.3548327928505937</v>
      </c>
      <c r="K22" s="42">
        <v>3.3562958795335849</v>
      </c>
      <c r="L22" s="42">
        <v>3.3580021788139556</v>
      </c>
      <c r="M22" s="42">
        <v>3.3599380859181669</v>
      </c>
      <c r="N22" s="42">
        <v>3.3620818702661697</v>
      </c>
      <c r="O22" s="42">
        <v>3.3644030414616397</v>
      </c>
      <c r="P22" s="42">
        <v>3.3668629916051738</v>
      </c>
      <c r="Q22" s="42">
        <v>3.3694178594654236</v>
      </c>
      <c r="R22" s="42">
        <v>3.3720244871331762</v>
      </c>
      <c r="S22" s="42">
        <v>3.3746492203335121</v>
      </c>
      <c r="T22" s="42">
        <v>3.3772759965867345</v>
      </c>
      <c r="U22" s="42">
        <v>3.379904817483141</v>
      </c>
      <c r="V22" s="42">
        <v>3.3825356846142682</v>
      </c>
    </row>
    <row r="23" spans="2:22" x14ac:dyDescent="0.45">
      <c r="E23" s="42">
        <v>2.674421840405341</v>
      </c>
      <c r="F23" s="42">
        <v>2.6713347691519425</v>
      </c>
      <c r="G23" s="42">
        <v>2.6685158589427469</v>
      </c>
      <c r="H23" s="42">
        <v>2.6659956514217287</v>
      </c>
      <c r="I23" s="42">
        <v>2.6638068356886659</v>
      </c>
      <c r="J23" s="42">
        <v>2.6619837548221872</v>
      </c>
      <c r="K23" s="42">
        <v>2.6605614388673442</v>
      </c>
      <c r="L23" s="42">
        <v>2.6595739392681721</v>
      </c>
      <c r="M23" s="42">
        <v>2.65905163827227</v>
      </c>
      <c r="N23" s="42">
        <v>2.6590171252778476</v>
      </c>
      <c r="O23" s="42">
        <v>2.6594792253170865</v>
      </c>
      <c r="P23" s="42">
        <v>2.6604250017495517</v>
      </c>
      <c r="Q23" s="42">
        <v>2.6618104028783143</v>
      </c>
      <c r="R23" s="42">
        <v>2.6635523570144448</v>
      </c>
      <c r="S23" s="42">
        <v>2.665529420676092</v>
      </c>
      <c r="T23" s="42">
        <v>2.667604228730915</v>
      </c>
      <c r="U23" s="42">
        <v>2.6696806517851552</v>
      </c>
      <c r="V23" s="42">
        <v>2.671758691095917</v>
      </c>
    </row>
    <row r="24" spans="2:22" x14ac:dyDescent="0.45">
      <c r="D24" s="42">
        <v>2.0425239549634582</v>
      </c>
      <c r="E24" s="42">
        <v>2.034578711007982</v>
      </c>
      <c r="F24" s="42">
        <v>2.0267372026946493</v>
      </c>
      <c r="G24" s="42">
        <v>2.0190313655952505</v>
      </c>
      <c r="H24" s="42">
        <v>2.011499559599351</v>
      </c>
      <c r="I24" s="42">
        <v>2.0041879511207625</v>
      </c>
      <c r="J24" s="42">
        <v>1.9971521659145666</v>
      </c>
      <c r="K24" s="42">
        <v>1.9904592163974268</v>
      </c>
      <c r="L24" s="42">
        <v>1.9841896353461519</v>
      </c>
      <c r="M24" s="42">
        <v>1.9784395911350503</v>
      </c>
      <c r="N24" s="42">
        <v>1.9733224304825205</v>
      </c>
      <c r="O24" s="42">
        <v>1.9689684359740536</v>
      </c>
      <c r="P24" s="42">
        <v>1.9655203334799085</v>
      </c>
      <c r="Q24" s="42">
        <v>1.9631198759177497</v>
      </c>
      <c r="R24" s="42">
        <v>1.9618774665143537</v>
      </c>
      <c r="S24" s="42">
        <v>1.9618135297235491</v>
      </c>
      <c r="T24" s="42">
        <v>1.9627648627920535</v>
      </c>
      <c r="U24" s="42">
        <v>1.9642926494731863</v>
      </c>
      <c r="V24" s="42">
        <v>1.965821625360519</v>
      </c>
    </row>
    <row r="25" spans="2:22" x14ac:dyDescent="0.45">
      <c r="C25" s="42">
        <v>1.4819765923731139</v>
      </c>
      <c r="D25" s="42">
        <v>1.4691384467302251</v>
      </c>
      <c r="E25" s="42">
        <v>1.456108173995083</v>
      </c>
      <c r="F25" s="42">
        <v>1.4428873306436194</v>
      </c>
      <c r="G25" s="42">
        <v>1.4294800933649916</v>
      </c>
      <c r="H25" s="42">
        <v>1.4158943211755763</v>
      </c>
      <c r="I25" s="42">
        <v>1.4021430650824913</v>
      </c>
      <c r="J25" s="42">
        <v>1.3882467408823591</v>
      </c>
      <c r="K25" s="42">
        <v>1.3742362973890385</v>
      </c>
      <c r="L25" s="42">
        <v>1.3601578984562677</v>
      </c>
      <c r="M25" s="42">
        <v>1.3460799316362766</v>
      </c>
      <c r="N25" s="42">
        <v>1.33210361183277</v>
      </c>
      <c r="O25" s="42">
        <v>1.3183791108545297</v>
      </c>
      <c r="P25" s="42">
        <v>1.3051299582805784</v>
      </c>
      <c r="Q25" s="42">
        <v>1.292688928555326</v>
      </c>
      <c r="R25" s="42">
        <v>1.2815466991592865</v>
      </c>
      <c r="S25" s="42">
        <v>1.2724031427681699</v>
      </c>
      <c r="T25" s="42">
        <v>1.2661674978348012</v>
      </c>
      <c r="U25" s="42">
        <v>1.2637078794285572</v>
      </c>
      <c r="V25" s="42">
        <v>1.2646915306562931</v>
      </c>
    </row>
    <row r="26" spans="2:22" x14ac:dyDescent="0.45">
      <c r="B26" s="42">
        <v>1.0159595227019753</v>
      </c>
      <c r="C26" s="42">
        <v>0.99985437393793397</v>
      </c>
      <c r="D26" s="42">
        <v>0.98332133518899967</v>
      </c>
      <c r="E26" s="42">
        <v>0.96632973896132923</v>
      </c>
      <c r="F26" s="42">
        <v>0.94884506863233198</v>
      </c>
      <c r="G26" s="42">
        <v>0.93082827058279471</v>
      </c>
      <c r="H26" s="42">
        <v>0.91223491142998037</v>
      </c>
      <c r="I26" s="42">
        <v>0.89301414309002702</v>
      </c>
      <c r="J26" s="42">
        <v>0.87310743378124189</v>
      </c>
      <c r="K26" s="42">
        <v>0.85244702661968508</v>
      </c>
      <c r="L26" s="42">
        <v>0.83095411554152865</v>
      </c>
      <c r="M26" s="42">
        <v>0.80853682362391477</v>
      </c>
      <c r="N26" s="42">
        <v>0.7850883421198448</v>
      </c>
      <c r="O26" s="42">
        <v>0.76048632752700429</v>
      </c>
      <c r="P26" s="42">
        <v>0.73459661551144284</v>
      </c>
      <c r="Q26" s="42">
        <v>0.70728950671237345</v>
      </c>
      <c r="R26" s="42">
        <v>0.67849072341372685</v>
      </c>
      <c r="S26" s="42">
        <v>0.64832635086536017</v>
      </c>
      <c r="T26" s="42">
        <v>0.61752211071938445</v>
      </c>
      <c r="U26" s="42">
        <v>0.58849428123847736</v>
      </c>
      <c r="V26" s="42">
        <v>0.56833567464545354</v>
      </c>
    </row>
    <row r="27" spans="2:22" x14ac:dyDescent="0.45">
      <c r="C27" s="42">
        <v>0.62204528736291098</v>
      </c>
      <c r="D27" s="42">
        <v>0.60432614466192269</v>
      </c>
      <c r="E27" s="42">
        <v>0.58606521452064009</v>
      </c>
      <c r="F27" s="42">
        <v>0.56721502616190411</v>
      </c>
      <c r="G27" s="42">
        <v>0.54772055857140212</v>
      </c>
      <c r="H27" s="42">
        <v>0.52751742882646302</v>
      </c>
      <c r="I27" s="42">
        <v>0.50652947507481405</v>
      </c>
      <c r="J27" s="42">
        <v>0.4846654639186459</v>
      </c>
      <c r="K27" s="42">
        <v>0.46181449440894962</v>
      </c>
      <c r="L27" s="42">
        <v>0.43783939527372884</v>
      </c>
      <c r="M27" s="42">
        <v>0.41256690745683933</v>
      </c>
      <c r="N27" s="42">
        <v>0.38577247300051365</v>
      </c>
      <c r="O27" s="42">
        <v>0.35715548244157713</v>
      </c>
      <c r="P27" s="42">
        <v>0.32629662700005646</v>
      </c>
      <c r="Q27" s="42">
        <v>0.29257955967800697</v>
      </c>
      <c r="R27" s="42">
        <v>0.25503689444006261</v>
      </c>
      <c r="S27" s="42">
        <v>0.21202641040511178</v>
      </c>
      <c r="T27" s="42">
        <v>0.16050659383067431</v>
      </c>
      <c r="U27" s="42">
        <v>9.432595642065876E-2</v>
      </c>
      <c r="V27" s="42">
        <v>0</v>
      </c>
    </row>
    <row r="28" spans="2:22" x14ac:dyDescent="0.45">
      <c r="D28" s="42">
        <v>0.33675938270615308</v>
      </c>
      <c r="E28" s="42">
        <v>0.32039493455373741</v>
      </c>
      <c r="F28" s="42">
        <v>0.30362703114884387</v>
      </c>
      <c r="G28" s="42">
        <v>0.28642971887830593</v>
      </c>
      <c r="H28" s="42">
        <v>0.26877452501657956</v>
      </c>
      <c r="I28" s="42">
        <v>0.25063027933595028</v>
      </c>
      <c r="J28" s="42">
        <v>0.23196303604856938</v>
      </c>
      <c r="K28" s="42">
        <v>0.21273622237120748</v>
      </c>
      <c r="L28" s="42">
        <v>0.19291126774920792</v>
      </c>
      <c r="M28" s="42">
        <v>0.17244923536973217</v>
      </c>
      <c r="N28" s="42">
        <v>0.15131455772357608</v>
      </c>
      <c r="O28" s="42">
        <v>0.12948328175710366</v>
      </c>
      <c r="P28" s="42">
        <v>0.10696126508761612</v>
      </c>
      <c r="Q28" s="42">
        <v>8.38250748152716E-2</v>
      </c>
      <c r="R28" s="42">
        <v>6.031648438235121E-2</v>
      </c>
      <c r="S28" s="42">
        <v>3.7067713006233738E-2</v>
      </c>
      <c r="T28" s="42">
        <v>1.5655160236702558E-2</v>
      </c>
      <c r="U28" s="42">
        <v>0</v>
      </c>
      <c r="V28" s="42">
        <v>0</v>
      </c>
    </row>
    <row r="29" spans="2:22" x14ac:dyDescent="0.45">
      <c r="E29" s="42">
        <v>0.15595312029714817</v>
      </c>
      <c r="F29" s="42">
        <v>0.14358963663290264</v>
      </c>
      <c r="G29" s="42">
        <v>0.1311634643991188</v>
      </c>
      <c r="H29" s="42">
        <v>0.11869673889513066</v>
      </c>
      <c r="I29" s="42">
        <v>0.10621897247970438</v>
      </c>
      <c r="J29" s="42">
        <v>9.3769568401115264E-2</v>
      </c>
      <c r="K29" s="42">
        <v>8.14013261677108E-2</v>
      </c>
      <c r="L29" s="42">
        <v>6.918538007905381E-2</v>
      </c>
      <c r="M29" s="42">
        <v>5.7218211457576641E-2</v>
      </c>
      <c r="N29" s="42">
        <v>4.5631628198129263E-2</v>
      </c>
      <c r="O29" s="42">
        <v>3.4606835055210887E-2</v>
      </c>
      <c r="P29" s="42">
        <v>2.4393595102376747E-2</v>
      </c>
      <c r="Q29" s="42">
        <v>1.5333887701408469E-2</v>
      </c>
      <c r="R29" s="42">
        <v>7.8829091992194487E-3</v>
      </c>
      <c r="S29" s="42">
        <v>2.5982672356125213E-3</v>
      </c>
      <c r="T29" s="42">
        <v>0</v>
      </c>
      <c r="U29" s="42">
        <v>0</v>
      </c>
      <c r="V29" s="42">
        <v>0</v>
      </c>
    </row>
    <row r="30" spans="2:22" x14ac:dyDescent="0.45">
      <c r="F30" s="42">
        <v>5.9295911772247085E-2</v>
      </c>
      <c r="G30" s="42">
        <v>5.192569609288996E-2</v>
      </c>
      <c r="H30" s="42">
        <v>4.4796762851658879E-2</v>
      </c>
      <c r="I30" s="42">
        <v>3.7954885328643009E-2</v>
      </c>
      <c r="J30" s="42">
        <v>3.145331065188036E-2</v>
      </c>
      <c r="K30" s="42">
        <v>2.5353681864415212E-2</v>
      </c>
      <c r="L30" s="42">
        <v>1.9726703077205747E-2</v>
      </c>
      <c r="M30" s="42">
        <v>1.4652118964455009E-2</v>
      </c>
      <c r="N30" s="42">
        <v>1.0217185212142222E-2</v>
      </c>
      <c r="O30" s="42">
        <v>6.5121099466659942E-3</v>
      </c>
      <c r="P30" s="42">
        <v>3.6197964557506492E-3</v>
      </c>
      <c r="Q30" s="42">
        <v>1.5955797830899514E-3</v>
      </c>
      <c r="R30" s="42">
        <v>4.3123114204202671E-4</v>
      </c>
      <c r="S30" s="42">
        <v>0</v>
      </c>
      <c r="T30" s="42">
        <v>0</v>
      </c>
      <c r="U30" s="42">
        <v>0</v>
      </c>
      <c r="V30" s="42">
        <v>0</v>
      </c>
    </row>
    <row r="31" spans="2:22" x14ac:dyDescent="0.45">
      <c r="G31" s="42">
        <v>1.7574035199184049E-2</v>
      </c>
      <c r="H31" s="42">
        <v>1.4269483383791776E-2</v>
      </c>
      <c r="I31" s="42">
        <v>1.1275473539708163E-2</v>
      </c>
      <c r="J31" s="42">
        <v>8.6145252127387897E-3</v>
      </c>
      <c r="K31" s="42">
        <v>6.3071088152388613E-3</v>
      </c>
      <c r="L31" s="42">
        <v>4.3696070113857172E-3</v>
      </c>
      <c r="M31" s="42">
        <v>2.8114123886929247E-3</v>
      </c>
      <c r="N31" s="42">
        <v>1.6309904998938036E-3</v>
      </c>
      <c r="O31" s="42">
        <v>8.1092433021644412E-4</v>
      </c>
      <c r="P31" s="42">
        <v>3.1249309070584432E-4</v>
      </c>
      <c r="Q31" s="42">
        <v>7.1570889750644128E-5</v>
      </c>
      <c r="R31" s="42">
        <v>0</v>
      </c>
      <c r="S31" s="42">
        <v>0</v>
      </c>
      <c r="T31" s="42">
        <v>0</v>
      </c>
      <c r="U31" s="42">
        <v>0</v>
      </c>
      <c r="V31" s="42">
        <v>0</v>
      </c>
    </row>
    <row r="32" spans="2:22" x14ac:dyDescent="0.45">
      <c r="H32" s="42">
        <v>3.7915996996933901E-3</v>
      </c>
      <c r="I32" s="42">
        <v>2.7469745501106303E-3</v>
      </c>
      <c r="J32" s="42">
        <v>1.8950075607926556E-3</v>
      </c>
      <c r="K32" s="42">
        <v>1.2276345793937999E-3</v>
      </c>
      <c r="L32" s="42">
        <v>7.3182488386757587E-4</v>
      </c>
      <c r="M32" s="42">
        <v>3.8897178178005248E-4</v>
      </c>
      <c r="N32" s="42">
        <v>1.7473774904916341E-4</v>
      </c>
      <c r="O32" s="42">
        <v>5.977693052261908E-5</v>
      </c>
      <c r="P32" s="42">
        <v>1.18785304684931E-5</v>
      </c>
      <c r="Q32" s="42">
        <v>0</v>
      </c>
      <c r="R32" s="42">
        <v>0</v>
      </c>
      <c r="S32" s="42">
        <v>0</v>
      </c>
      <c r="T32" s="42">
        <v>0</v>
      </c>
      <c r="U32" s="42">
        <v>0</v>
      </c>
      <c r="V32" s="42">
        <v>0</v>
      </c>
    </row>
    <row r="33" spans="9:22" x14ac:dyDescent="0.45">
      <c r="I33" s="42">
        <v>5.4058361205149724E-4</v>
      </c>
      <c r="J33" s="42">
        <v>3.2840903297806634E-4</v>
      </c>
      <c r="K33" s="42">
        <v>1.8215759530246535E-4</v>
      </c>
      <c r="L33" s="42">
        <v>8.9245788450148815E-5</v>
      </c>
      <c r="M33" s="42">
        <v>3.6539433251807725E-5</v>
      </c>
      <c r="N33" s="42">
        <v>1.1234386937142513E-5</v>
      </c>
      <c r="O33" s="42">
        <v>1.9714647475031903E-6</v>
      </c>
      <c r="P33" s="42">
        <v>0</v>
      </c>
      <c r="Q33" s="42">
        <v>0</v>
      </c>
      <c r="R33" s="42">
        <v>0</v>
      </c>
      <c r="S33" s="42">
        <v>0</v>
      </c>
      <c r="T33" s="42">
        <v>0</v>
      </c>
      <c r="U33" s="42">
        <v>0</v>
      </c>
      <c r="V33" s="42">
        <v>0</v>
      </c>
    </row>
    <row r="34" spans="9:22" x14ac:dyDescent="0.45">
      <c r="J34" s="42">
        <v>4.370233395597346E-5</v>
      </c>
      <c r="K34" s="42">
        <v>1.9845764720457999E-5</v>
      </c>
      <c r="L34" s="42">
        <v>7.4607435189189783E-6</v>
      </c>
      <c r="M34" s="42">
        <v>2.0825213202684398E-6</v>
      </c>
      <c r="N34" s="42">
        <v>3.2720152219302323E-7</v>
      </c>
      <c r="O34" s="42">
        <v>0</v>
      </c>
      <c r="P34" s="42">
        <v>0</v>
      </c>
      <c r="Q34" s="42">
        <v>0</v>
      </c>
      <c r="R34" s="42">
        <v>0</v>
      </c>
      <c r="S34" s="42">
        <v>0</v>
      </c>
      <c r="T34" s="42">
        <v>0</v>
      </c>
      <c r="U34" s="42">
        <v>0</v>
      </c>
      <c r="V34" s="42">
        <v>0</v>
      </c>
    </row>
    <row r="35" spans="9:22" x14ac:dyDescent="0.45">
      <c r="K35" s="42">
        <v>1.4940969969131146E-6</v>
      </c>
      <c r="L35" s="42">
        <v>3.8180869619793729E-7</v>
      </c>
      <c r="M35" s="42">
        <v>5.4305224710968792E-8</v>
      </c>
      <c r="N35" s="42">
        <v>0</v>
      </c>
      <c r="O35" s="42">
        <v>0</v>
      </c>
      <c r="P35" s="42">
        <v>0</v>
      </c>
      <c r="Q35" s="42">
        <v>0</v>
      </c>
      <c r="R35" s="42">
        <v>0</v>
      </c>
      <c r="S35" s="42">
        <v>0</v>
      </c>
      <c r="T35" s="42">
        <v>0</v>
      </c>
      <c r="U35" s="42">
        <v>0</v>
      </c>
      <c r="V35" s="42">
        <v>0</v>
      </c>
    </row>
    <row r="36" spans="9:22" x14ac:dyDescent="0.45">
      <c r="L36" s="42">
        <v>9.0129697784037019E-9</v>
      </c>
      <c r="M36" s="42">
        <v>0</v>
      </c>
      <c r="N36" s="42">
        <v>0</v>
      </c>
      <c r="O36" s="42">
        <v>0</v>
      </c>
      <c r="P36" s="42">
        <v>0</v>
      </c>
      <c r="Q36" s="42">
        <v>0</v>
      </c>
      <c r="R36" s="42">
        <v>0</v>
      </c>
      <c r="S36" s="42">
        <v>0</v>
      </c>
      <c r="T36" s="42">
        <v>0</v>
      </c>
      <c r="U36" s="42">
        <v>0</v>
      </c>
      <c r="V36" s="42">
        <v>0</v>
      </c>
    </row>
    <row r="37" spans="9:22" x14ac:dyDescent="0.45">
      <c r="M37" s="42">
        <v>0</v>
      </c>
      <c r="N37" s="42">
        <v>0</v>
      </c>
      <c r="O37" s="42">
        <v>0</v>
      </c>
      <c r="P37" s="42">
        <v>0</v>
      </c>
      <c r="Q37" s="42">
        <v>0</v>
      </c>
      <c r="R37" s="42">
        <v>0</v>
      </c>
      <c r="S37" s="42">
        <v>0</v>
      </c>
      <c r="T37" s="42">
        <v>0</v>
      </c>
      <c r="U37" s="42">
        <v>0</v>
      </c>
      <c r="V37" s="42">
        <v>0</v>
      </c>
    </row>
    <row r="38" spans="9:22" x14ac:dyDescent="0.45">
      <c r="N38" s="42">
        <v>0</v>
      </c>
      <c r="O38" s="42">
        <v>0</v>
      </c>
      <c r="P38" s="42">
        <v>0</v>
      </c>
      <c r="Q38" s="42">
        <v>0</v>
      </c>
      <c r="R38" s="42">
        <v>0</v>
      </c>
      <c r="S38" s="42">
        <v>0</v>
      </c>
      <c r="T38" s="42">
        <v>0</v>
      </c>
      <c r="U38" s="42">
        <v>0</v>
      </c>
      <c r="V38" s="42">
        <v>0</v>
      </c>
    </row>
    <row r="39" spans="9:22" x14ac:dyDescent="0.45">
      <c r="P39" s="42">
        <v>0</v>
      </c>
      <c r="Q39" s="42">
        <v>0</v>
      </c>
      <c r="R39" s="42">
        <v>0</v>
      </c>
      <c r="S39" s="42">
        <v>0</v>
      </c>
      <c r="T39" s="42">
        <v>0</v>
      </c>
      <c r="U39" s="42">
        <v>0</v>
      </c>
      <c r="V39" s="42">
        <v>0</v>
      </c>
    </row>
    <row r="40" spans="9:22" x14ac:dyDescent="0.45">
      <c r="Q40" s="42">
        <v>0</v>
      </c>
      <c r="R40" s="42">
        <v>0</v>
      </c>
      <c r="S40" s="42">
        <v>0</v>
      </c>
      <c r="T40" s="42">
        <v>0</v>
      </c>
      <c r="U40" s="42">
        <v>0</v>
      </c>
      <c r="V40" s="42">
        <v>0</v>
      </c>
    </row>
    <row r="41" spans="9:22" x14ac:dyDescent="0.45">
      <c r="S41" s="42">
        <v>0</v>
      </c>
      <c r="T41" s="42">
        <v>0</v>
      </c>
      <c r="U41" s="42">
        <v>0</v>
      </c>
      <c r="V41" s="42">
        <v>0</v>
      </c>
    </row>
    <row r="42" spans="9:22" x14ac:dyDescent="0.45">
      <c r="V42" s="42">
        <v>0</v>
      </c>
    </row>
  </sheetData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F7128"/>
        <color rgb="FFFFEF9C"/>
      </colorScale>
    </cfRule>
    <cfRule type="colorScale" priority="3">
      <colorScale>
        <cfvo type="min"/>
        <cfvo type="max"/>
        <color theme="3" tint="0.499984740745262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F547A-3524-4D76-85A0-5C7636ADE2BE}">
  <sheetPr codeName="Feuil4"/>
  <dimension ref="B10:OF454"/>
  <sheetViews>
    <sheetView zoomScale="54" zoomScaleNormal="85" workbookViewId="0">
      <selection activeCell="A39" sqref="A39"/>
    </sheetView>
  </sheetViews>
  <sheetFormatPr baseColWidth="10" defaultRowHeight="14.25" x14ac:dyDescent="0.45"/>
  <cols>
    <col min="1" max="4" width="10.6640625" style="41"/>
    <col min="5" max="5" width="12.06640625" style="41" bestFit="1" customWidth="1"/>
    <col min="6" max="16384" width="10.6640625" style="41"/>
  </cols>
  <sheetData>
    <row r="10" spans="12:22" x14ac:dyDescent="0.45">
      <c r="V10" s="41">
        <v>113.30168336250993</v>
      </c>
    </row>
    <row r="11" spans="12:22" x14ac:dyDescent="0.45">
      <c r="S11" s="41">
        <v>112.2678059531662</v>
      </c>
      <c r="T11" s="41">
        <v>112.35519352663719</v>
      </c>
      <c r="U11" s="41">
        <v>112.44264912128254</v>
      </c>
      <c r="V11" s="41">
        <v>112.53017279004888</v>
      </c>
    </row>
    <row r="12" spans="12:22" x14ac:dyDescent="0.45">
      <c r="Q12" s="41">
        <v>111.32995283327548</v>
      </c>
      <c r="R12" s="41">
        <v>111.41661039596808</v>
      </c>
      <c r="S12" s="41">
        <v>111.50333541160553</v>
      </c>
      <c r="T12" s="41">
        <v>111.59012793269218</v>
      </c>
      <c r="U12" s="41">
        <v>111.67698801177336</v>
      </c>
      <c r="V12" s="41">
        <v>111.76391570143515</v>
      </c>
    </row>
    <row r="13" spans="12:22" x14ac:dyDescent="0.45">
      <c r="P13" s="41">
        <v>110.48586792015008</v>
      </c>
      <c r="Q13" s="41">
        <v>110.57186845982757</v>
      </c>
      <c r="R13" s="41">
        <v>110.65793594103314</v>
      </c>
      <c r="S13" s="41">
        <v>110.744070415873</v>
      </c>
      <c r="T13" s="41">
        <v>110.83027193649399</v>
      </c>
      <c r="U13" s="41">
        <v>110.9165405550836</v>
      </c>
      <c r="V13" s="41">
        <v>111.00287632386987</v>
      </c>
    </row>
    <row r="14" spans="12:22" x14ac:dyDescent="0.45">
      <c r="N14" s="41">
        <v>109.56290060059656</v>
      </c>
      <c r="O14" s="41">
        <v>109.648182716379</v>
      </c>
      <c r="P14" s="41">
        <v>109.73353121447907</v>
      </c>
      <c r="Q14" s="41">
        <v>109.81894614656778</v>
      </c>
      <c r="R14" s="41">
        <v>109.90442756435642</v>
      </c>
      <c r="S14" s="41">
        <v>109.98997551959638</v>
      </c>
      <c r="T14" s="41">
        <v>110.07559006407945</v>
      </c>
      <c r="U14" s="41">
        <v>110.16127124963772</v>
      </c>
      <c r="V14" s="41">
        <v>110.24701912814361</v>
      </c>
    </row>
    <row r="15" spans="12:22" x14ac:dyDescent="0.45">
      <c r="M15" s="41">
        <v>108.73221317927232</v>
      </c>
      <c r="N15" s="41">
        <v>108.81684870044599</v>
      </c>
      <c r="O15" s="41">
        <v>108.90155010063783</v>
      </c>
      <c r="P15" s="41">
        <v>108.98631743112703</v>
      </c>
      <c r="Q15" s="41">
        <v>109.07115074323274</v>
      </c>
      <c r="R15" s="41">
        <v>109.1560500883141</v>
      </c>
      <c r="S15" s="41">
        <v>109.24101551777015</v>
      </c>
      <c r="T15" s="41">
        <v>109.32604708303998</v>
      </c>
      <c r="U15" s="41">
        <v>109.41114483560276</v>
      </c>
      <c r="V15" s="41">
        <v>109.49630882697765</v>
      </c>
    </row>
    <row r="16" spans="12:22" x14ac:dyDescent="0.45">
      <c r="L16" s="41">
        <v>107.9078238897807</v>
      </c>
      <c r="M16" s="41">
        <v>107.99181771871683</v>
      </c>
      <c r="N16" s="41">
        <v>108.07587692718752</v>
      </c>
      <c r="O16" s="41">
        <v>108.16000156608322</v>
      </c>
      <c r="P16" s="41">
        <v>108.24419168633396</v>
      </c>
      <c r="Q16" s="41">
        <v>108.32844733890943</v>
      </c>
      <c r="R16" s="41">
        <v>108.41276857481905</v>
      </c>
      <c r="S16" s="41">
        <v>108.49715544511187</v>
      </c>
      <c r="T16" s="41">
        <v>108.58160800087671</v>
      </c>
      <c r="U16" s="41">
        <v>108.6661262932422</v>
      </c>
      <c r="V16" s="41">
        <v>108.75071037337669</v>
      </c>
    </row>
    <row r="17" spans="2:22" x14ac:dyDescent="0.45">
      <c r="K17" s="41">
        <v>107.08968498074906</v>
      </c>
      <c r="L17" s="41">
        <v>107.17304198264993</v>
      </c>
      <c r="M17" s="41">
        <v>107.25646386838874</v>
      </c>
      <c r="N17" s="41">
        <v>107.3399506884701</v>
      </c>
      <c r="O17" s="41">
        <v>107.42350249343795</v>
      </c>
      <c r="P17" s="41">
        <v>107.50711933387551</v>
      </c>
      <c r="Q17" s="41">
        <v>107.59080126040541</v>
      </c>
      <c r="R17" s="41">
        <v>107.67454832368973</v>
      </c>
      <c r="S17" s="41">
        <v>107.75836057442991</v>
      </c>
      <c r="T17" s="41">
        <v>107.84223806336688</v>
      </c>
      <c r="U17" s="41">
        <v>107.92618084128111</v>
      </c>
      <c r="V17" s="41">
        <v>108.01018895899254</v>
      </c>
    </row>
    <row r="18" spans="2:22" x14ac:dyDescent="0.45">
      <c r="J18" s="41">
        <v>106.27774906284765</v>
      </c>
      <c r="K18" s="41">
        <v>106.36047406602835</v>
      </c>
      <c r="L18" s="41">
        <v>106.44326346110869</v>
      </c>
      <c r="M18" s="41">
        <v>106.52611729821032</v>
      </c>
      <c r="N18" s="41">
        <v>106.60903562749401</v>
      </c>
      <c r="O18" s="41">
        <v>106.69201849915947</v>
      </c>
      <c r="P18" s="41">
        <v>106.77506596344551</v>
      </c>
      <c r="Q18" s="41">
        <v>106.85817807063006</v>
      </c>
      <c r="R18" s="41">
        <v>106.94135487103021</v>
      </c>
      <c r="S18" s="41">
        <v>107.02459641500215</v>
      </c>
      <c r="T18" s="41">
        <v>107.1079027529413</v>
      </c>
      <c r="U18" s="41">
        <v>107.19127393528237</v>
      </c>
      <c r="V18" s="41">
        <v>107.27471001249923</v>
      </c>
    </row>
    <row r="19" spans="2:22" x14ac:dyDescent="0.45">
      <c r="I19" s="41">
        <v>105.47196910604461</v>
      </c>
      <c r="J19" s="41">
        <v>105.55406690221277</v>
      </c>
      <c r="K19" s="41">
        <v>105.63622860207205</v>
      </c>
      <c r="L19" s="41">
        <v>105.71845425536412</v>
      </c>
      <c r="M19" s="41">
        <v>105.80074391186936</v>
      </c>
      <c r="N19" s="41">
        <v>105.88309762140695</v>
      </c>
      <c r="O19" s="41">
        <v>105.96551543383478</v>
      </c>
      <c r="P19" s="41">
        <v>106.04799739904956</v>
      </c>
      <c r="Q19" s="41">
        <v>106.13054356698687</v>
      </c>
      <c r="R19" s="41">
        <v>106.2131539876212</v>
      </c>
      <c r="S19" s="41">
        <v>106.29582871096579</v>
      </c>
      <c r="T19" s="41">
        <v>106.37856778707294</v>
      </c>
      <c r="U19" s="41">
        <v>106.46137126603391</v>
      </c>
      <c r="V19" s="41">
        <v>106.5442391979789</v>
      </c>
    </row>
    <row r="20" spans="2:22" x14ac:dyDescent="0.45">
      <c r="H20" s="41">
        <v>104.67229843688187</v>
      </c>
      <c r="I20" s="41">
        <v>104.75377378141518</v>
      </c>
      <c r="J20" s="41">
        <v>104.83531254513262</v>
      </c>
      <c r="K20" s="41">
        <v>104.91691477739874</v>
      </c>
      <c r="L20" s="41">
        <v>104.99858052761647</v>
      </c>
      <c r="M20" s="41">
        <v>105.08030984522723</v>
      </c>
      <c r="N20" s="41">
        <v>105.16210277971096</v>
      </c>
      <c r="O20" s="41">
        <v>105.24395938058606</v>
      </c>
      <c r="P20" s="41">
        <v>105.32587969740948</v>
      </c>
      <c r="Q20" s="41">
        <v>105.40786377977673</v>
      </c>
      <c r="R20" s="41">
        <v>105.48991167732206</v>
      </c>
      <c r="S20" s="41">
        <v>105.57202343971812</v>
      </c>
      <c r="T20" s="41">
        <v>105.65419911667639</v>
      </c>
      <c r="U20" s="41">
        <v>105.73643875794706</v>
      </c>
      <c r="V20" s="41">
        <v>105.81874241331896</v>
      </c>
    </row>
    <row r="21" spans="2:22" x14ac:dyDescent="0.45">
      <c r="G21" s="41">
        <v>103.87869073577153</v>
      </c>
      <c r="H21" s="41">
        <v>103.95954834799331</v>
      </c>
      <c r="I21" s="41">
        <v>104.04046889856559</v>
      </c>
      <c r="J21" s="41">
        <v>104.12145243647875</v>
      </c>
      <c r="K21" s="41">
        <v>104.20249901076114</v>
      </c>
      <c r="L21" s="41">
        <v>104.28360867047931</v>
      </c>
      <c r="M21" s="41">
        <v>104.36478146473804</v>
      </c>
      <c r="N21" s="41">
        <v>104.44601744268031</v>
      </c>
      <c r="O21" s="41">
        <v>104.52731665348735</v>
      </c>
      <c r="P21" s="41">
        <v>104.60867914637865</v>
      </c>
      <c r="Q21" s="41">
        <v>104.69010497061203</v>
      </c>
      <c r="R21" s="41">
        <v>104.77159417548371</v>
      </c>
      <c r="S21" s="41">
        <v>104.85314681032817</v>
      </c>
      <c r="T21" s="41">
        <v>104.93476292451835</v>
      </c>
      <c r="U21" s="41">
        <v>105.01644256746566</v>
      </c>
      <c r="V21" s="41">
        <v>105.09818578861993</v>
      </c>
    </row>
    <row r="22" spans="2:22" x14ac:dyDescent="0.45">
      <c r="F22" s="41">
        <v>103.09110003431316</v>
      </c>
      <c r="G22" s="41">
        <v>103.17134459776544</v>
      </c>
      <c r="H22" s="41">
        <v>103.25165162238038</v>
      </c>
      <c r="I22" s="41">
        <v>103.33202115677672</v>
      </c>
      <c r="J22" s="41">
        <v>103.4124532496112</v>
      </c>
      <c r="K22" s="41">
        <v>103.49294794957837</v>
      </c>
      <c r="L22" s="41">
        <v>103.57350530541062</v>
      </c>
      <c r="M22" s="41">
        <v>103.6541253658784</v>
      </c>
      <c r="N22" s="41">
        <v>103.73480817979002</v>
      </c>
      <c r="O22" s="41">
        <v>103.81555379599185</v>
      </c>
      <c r="P22" s="41">
        <v>103.89636226336822</v>
      </c>
      <c r="Q22" s="41">
        <v>103.97723363084154</v>
      </c>
      <c r="R22" s="41">
        <v>104.05816794737234</v>
      </c>
      <c r="S22" s="41">
        <v>104.13916526195916</v>
      </c>
      <c r="T22" s="41">
        <v>104.22022562363878</v>
      </c>
      <c r="U22" s="41">
        <v>104.30134908148611</v>
      </c>
      <c r="V22" s="41">
        <v>104.38253568461427</v>
      </c>
    </row>
    <row r="23" spans="2:22" x14ac:dyDescent="0.45">
      <c r="E23" s="41">
        <v>102.30948071263086</v>
      </c>
      <c r="F23" s="41">
        <v>102.38911687534599</v>
      </c>
      <c r="G23" s="41">
        <v>102.46881502565375</v>
      </c>
      <c r="H23" s="41">
        <v>102.54857521180438</v>
      </c>
      <c r="I23" s="41">
        <v>102.62839748208557</v>
      </c>
      <c r="J23" s="41">
        <v>102.70828188482274</v>
      </c>
      <c r="K23" s="41">
        <v>102.78822846837883</v>
      </c>
      <c r="L23" s="41">
        <v>102.86823728115445</v>
      </c>
      <c r="M23" s="41">
        <v>102.94830837158791</v>
      </c>
      <c r="N23" s="41">
        <v>103.02844178815521</v>
      </c>
      <c r="O23" s="41">
        <v>103.10863757937004</v>
      </c>
      <c r="P23" s="41">
        <v>103.18889579378393</v>
      </c>
      <c r="Q23" s="41">
        <v>103.26921647998611</v>
      </c>
      <c r="R23" s="41">
        <v>103.34959968660377</v>
      </c>
      <c r="S23" s="41">
        <v>103.43004546230175</v>
      </c>
      <c r="T23" s="41">
        <v>103.51055385578296</v>
      </c>
      <c r="U23" s="41">
        <v>103.59112491578811</v>
      </c>
      <c r="V23" s="41">
        <v>103.67175869109592</v>
      </c>
    </row>
    <row r="24" spans="2:22" x14ac:dyDescent="0.45">
      <c r="D24" s="41">
        <v>101.53378749673094</v>
      </c>
      <c r="E24" s="41">
        <v>101.61281987150065</v>
      </c>
      <c r="F24" s="41">
        <v>101.69191376388351</v>
      </c>
      <c r="G24" s="41">
        <v>101.77106922176391</v>
      </c>
      <c r="H24" s="41">
        <v>101.85028629306353</v>
      </c>
      <c r="I24" s="41">
        <v>101.9295650257413</v>
      </c>
      <c r="J24" s="41">
        <v>102.00890546779353</v>
      </c>
      <c r="K24" s="41">
        <v>102.08830766725386</v>
      </c>
      <c r="L24" s="41">
        <v>102.16777167219331</v>
      </c>
      <c r="M24" s="41">
        <v>102.24729753072037</v>
      </c>
      <c r="N24" s="41">
        <v>102.32688529098094</v>
      </c>
      <c r="O24" s="41">
        <v>102.40653500115839</v>
      </c>
      <c r="P24" s="41">
        <v>102.4862467094736</v>
      </c>
      <c r="Q24" s="41">
        <v>102.56602046418499</v>
      </c>
      <c r="R24" s="41">
        <v>102.64585631358857</v>
      </c>
      <c r="S24" s="41">
        <v>102.72575430601786</v>
      </c>
      <c r="T24" s="41">
        <v>102.80571448984411</v>
      </c>
      <c r="U24" s="41">
        <v>102.88573691347615</v>
      </c>
      <c r="V24" s="41">
        <v>102.96582162536052</v>
      </c>
    </row>
    <row r="25" spans="2:22" x14ac:dyDescent="0.45">
      <c r="C25" s="41">
        <v>100.76397545587953</v>
      </c>
      <c r="D25" s="41">
        <v>100.84240862052209</v>
      </c>
      <c r="E25" s="41">
        <v>100.92090283636166</v>
      </c>
      <c r="F25" s="41">
        <v>100.99945815091957</v>
      </c>
      <c r="G25" s="41">
        <v>101.0780746117541</v>
      </c>
      <c r="H25" s="41">
        <v>101.15675226646067</v>
      </c>
      <c r="I25" s="41">
        <v>101.23549116267161</v>
      </c>
      <c r="J25" s="41">
        <v>101.31429134805641</v>
      </c>
      <c r="K25" s="41">
        <v>101.39315287032164</v>
      </c>
      <c r="L25" s="41">
        <v>101.472075777211</v>
      </c>
      <c r="M25" s="41">
        <v>101.55106011650537</v>
      </c>
      <c r="N25" s="41">
        <v>101.6301059360228</v>
      </c>
      <c r="O25" s="41">
        <v>101.70921328361858</v>
      </c>
      <c r="P25" s="41">
        <v>101.78838220718525</v>
      </c>
      <c r="Q25" s="41">
        <v>101.8676127546526</v>
      </c>
      <c r="R25" s="41">
        <v>101.94690497398777</v>
      </c>
      <c r="S25" s="41">
        <v>102.02625891319519</v>
      </c>
      <c r="T25" s="41">
        <v>102.10567462031671</v>
      </c>
      <c r="U25" s="41">
        <v>102.18515214343152</v>
      </c>
      <c r="V25" s="41">
        <v>102.26469153065629</v>
      </c>
    </row>
    <row r="26" spans="2:22" x14ac:dyDescent="0.45">
      <c r="B26" s="41">
        <v>100</v>
      </c>
      <c r="C26" s="41">
        <v>100.07783849762548</v>
      </c>
      <c r="D26" s="41">
        <v>100.15573758356808</v>
      </c>
      <c r="E26" s="41">
        <v>100.23369730498885</v>
      </c>
      <c r="F26" s="41">
        <v>100.31171770908553</v>
      </c>
      <c r="G26" s="41">
        <v>100.38979884309259</v>
      </c>
      <c r="H26" s="41">
        <v>100.4679407542813</v>
      </c>
      <c r="I26" s="41">
        <v>100.54614348995969</v>
      </c>
      <c r="J26" s="41">
        <v>100.62440709747264</v>
      </c>
      <c r="K26" s="41">
        <v>100.70273162420186</v>
      </c>
      <c r="L26" s="41">
        <v>100.78111711756596</v>
      </c>
      <c r="M26" s="41">
        <v>100.85956362502044</v>
      </c>
      <c r="N26" s="41">
        <v>100.93807119405777</v>
      </c>
      <c r="O26" s="41">
        <v>101.01663987220736</v>
      </c>
      <c r="P26" s="41">
        <v>101.09526970703563</v>
      </c>
      <c r="Q26" s="41">
        <v>101.17396074614601</v>
      </c>
      <c r="R26" s="41">
        <v>101.25271303717901</v>
      </c>
      <c r="S26" s="41">
        <v>101.33152662781218</v>
      </c>
      <c r="T26" s="41">
        <v>101.41040156576024</v>
      </c>
      <c r="U26" s="41">
        <v>101.48933789877499</v>
      </c>
      <c r="V26" s="41">
        <v>101.56833567464545</v>
      </c>
    </row>
    <row r="27" spans="2:22" x14ac:dyDescent="0.45">
      <c r="C27" s="41">
        <v>99.396373684583551</v>
      </c>
      <c r="D27" s="41">
        <v>99.47374232855384</v>
      </c>
      <c r="E27" s="41">
        <v>99.551171195114236</v>
      </c>
      <c r="F27" s="41">
        <v>99.628660331141077</v>
      </c>
      <c r="G27" s="41">
        <v>99.706209783547237</v>
      </c>
      <c r="H27" s="41">
        <v>99.783819599282054</v>
      </c>
      <c r="I27" s="41">
        <v>99.861489825331461</v>
      </c>
      <c r="J27" s="41">
        <v>99.939220508717924</v>
      </c>
      <c r="K27" s="41">
        <v>100.01701169650053</v>
      </c>
      <c r="L27" s="41">
        <v>100.09486343577498</v>
      </c>
      <c r="M27" s="41">
        <v>100.17277577367366</v>
      </c>
      <c r="N27" s="41">
        <v>100.25074875736563</v>
      </c>
      <c r="O27" s="41">
        <v>100.32878243405666</v>
      </c>
      <c r="P27" s="41">
        <v>100.40687685098926</v>
      </c>
      <c r="Q27" s="41">
        <v>100.48503205544273</v>
      </c>
      <c r="R27" s="41">
        <v>100.56324809473317</v>
      </c>
      <c r="S27" s="41">
        <v>100.64152501621349</v>
      </c>
      <c r="T27" s="41">
        <v>100.71986286727349</v>
      </c>
      <c r="U27" s="41">
        <v>100.79826169533982</v>
      </c>
      <c r="V27" s="41">
        <v>100.87672154787609</v>
      </c>
    </row>
    <row r="28" spans="2:22" x14ac:dyDescent="0.45">
      <c r="D28" s="41">
        <v>98.79639101645374</v>
      </c>
      <c r="E28" s="41">
        <v>98.873292642929158</v>
      </c>
      <c r="F28" s="41">
        <v>98.950254128475251</v>
      </c>
      <c r="G28" s="41">
        <v>99.02727551968546</v>
      </c>
      <c r="H28" s="41">
        <v>99.104356863189423</v>
      </c>
      <c r="I28" s="41">
        <v>99.181498205653128</v>
      </c>
      <c r="J28" s="41">
        <v>99.258699593778857</v>
      </c>
      <c r="K28" s="41">
        <v>99.335961074305246</v>
      </c>
      <c r="L28" s="41">
        <v>99.413282694007307</v>
      </c>
      <c r="M28" s="41">
        <v>99.490664499696493</v>
      </c>
      <c r="N28" s="41">
        <v>99.568106538220661</v>
      </c>
      <c r="O28" s="41">
        <v>99.64560885646415</v>
      </c>
      <c r="P28" s="41">
        <v>99.723171501347778</v>
      </c>
      <c r="Q28" s="41">
        <v>99.800794519828898</v>
      </c>
      <c r="R28" s="41">
        <v>99.878477958901428</v>
      </c>
      <c r="S28" s="41">
        <v>99.956221865595836</v>
      </c>
      <c r="T28" s="41">
        <v>100.03402628697921</v>
      </c>
      <c r="U28" s="41">
        <v>100.11189127015527</v>
      </c>
      <c r="V28" s="41">
        <v>100.18981686226444</v>
      </c>
    </row>
    <row r="29" spans="2:22" x14ac:dyDescent="0.45">
      <c r="E29" s="41">
        <v>98.200030001596716</v>
      </c>
      <c r="F29" s="41">
        <v>98.276467429617725</v>
      </c>
      <c r="G29" s="41">
        <v>98.352964355384344</v>
      </c>
      <c r="H29" s="41">
        <v>98.429520825208684</v>
      </c>
      <c r="I29" s="41">
        <v>98.506136885438991</v>
      </c>
      <c r="J29" s="41">
        <v>98.582812582459525</v>
      </c>
      <c r="K29" s="41">
        <v>98.659547962690652</v>
      </c>
      <c r="L29" s="41">
        <v>98.736343072588895</v>
      </c>
      <c r="M29" s="41">
        <v>98.813197958646938</v>
      </c>
      <c r="N29" s="41">
        <v>98.890112667393637</v>
      </c>
      <c r="O29" s="41">
        <v>98.967087245394083</v>
      </c>
      <c r="P29" s="41">
        <v>99.04412173924959</v>
      </c>
      <c r="Q29" s="41">
        <v>99.121216195597768</v>
      </c>
      <c r="R29" s="41">
        <v>99.19837066111252</v>
      </c>
      <c r="S29" s="41">
        <v>99.275585182504088</v>
      </c>
      <c r="T29" s="41">
        <v>99.352859806519064</v>
      </c>
      <c r="U29" s="41">
        <v>99.430194579940405</v>
      </c>
      <c r="V29" s="41">
        <v>99.507589549587536</v>
      </c>
    </row>
    <row r="30" spans="2:22" x14ac:dyDescent="0.45">
      <c r="F30" s="41">
        <v>97.607268778760229</v>
      </c>
      <c r="G30" s="41">
        <v>97.683244810350899</v>
      </c>
      <c r="H30" s="41">
        <v>97.75927998054307</v>
      </c>
      <c r="I30" s="41">
        <v>97.835374335369423</v>
      </c>
      <c r="J30" s="41">
        <v>97.911527920898351</v>
      </c>
      <c r="K30" s="41">
        <v>97.987740783234131</v>
      </c>
      <c r="L30" s="41">
        <v>98.064012968516934</v>
      </c>
      <c r="M30" s="41">
        <v>98.140344522922888</v>
      </c>
      <c r="N30" s="41">
        <v>98.216735492664</v>
      </c>
      <c r="O30" s="41">
        <v>98.29318592398829</v>
      </c>
      <c r="P30" s="41">
        <v>98.369695863179729</v>
      </c>
      <c r="Q30" s="41">
        <v>98.446265356558371</v>
      </c>
      <c r="R30" s="41">
        <v>98.522894450480308</v>
      </c>
      <c r="S30" s="41">
        <v>98.5995831913377</v>
      </c>
      <c r="T30" s="41">
        <v>98.676331625558845</v>
      </c>
      <c r="U30" s="41">
        <v>98.753139799608107</v>
      </c>
      <c r="V30" s="41">
        <v>98.830007759986131</v>
      </c>
    </row>
    <row r="31" spans="2:22" x14ac:dyDescent="0.45">
      <c r="G31" s="41">
        <v>97.018085618652393</v>
      </c>
      <c r="H31" s="41">
        <v>97.093603038922936</v>
      </c>
      <c r="I31" s="41">
        <v>97.169179240818892</v>
      </c>
      <c r="J31" s="41">
        <v>97.244814270094963</v>
      </c>
      <c r="K31" s="41">
        <v>97.320508172541494</v>
      </c>
      <c r="L31" s="41">
        <v>97.39626099398447</v>
      </c>
      <c r="M31" s="41">
        <v>97.472072780285572</v>
      </c>
      <c r="N31" s="41">
        <v>97.547943577342167</v>
      </c>
      <c r="O31" s="41">
        <v>97.623873431087333</v>
      </c>
      <c r="P31" s="41">
        <v>97.699862387489873</v>
      </c>
      <c r="Q31" s="41">
        <v>97.775910492554445</v>
      </c>
      <c r="R31" s="41">
        <v>97.85201779232149</v>
      </c>
      <c r="S31" s="41">
        <v>97.928184332867247</v>
      </c>
      <c r="T31" s="41">
        <v>98.004410160303877</v>
      </c>
      <c r="U31" s="41">
        <v>98.08069532077937</v>
      </c>
      <c r="V31" s="41">
        <v>98.15703986047771</v>
      </c>
    </row>
    <row r="32" spans="2:22" x14ac:dyDescent="0.45">
      <c r="H32" s="41">
        <v>96.432458923144935</v>
      </c>
      <c r="I32" s="41">
        <v>96.507520500394037</v>
      </c>
      <c r="J32" s="41">
        <v>96.582640504447141</v>
      </c>
      <c r="K32" s="41">
        <v>96.657818980782821</v>
      </c>
      <c r="L32" s="41">
        <v>96.733055974915018</v>
      </c>
      <c r="M32" s="41">
        <v>96.80835153239309</v>
      </c>
      <c r="N32" s="41">
        <v>96.883705698801904</v>
      </c>
      <c r="O32" s="41">
        <v>96.959118519761759</v>
      </c>
      <c r="P32" s="41">
        <v>97.034590040928435</v>
      </c>
      <c r="Q32" s="41">
        <v>97.110120307993327</v>
      </c>
      <c r="R32" s="41">
        <v>97.185709366683369</v>
      </c>
      <c r="S32" s="41">
        <v>97.261357262761052</v>
      </c>
      <c r="T32" s="41">
        <v>97.337064042024551</v>
      </c>
      <c r="U32" s="41">
        <v>97.412829750307623</v>
      </c>
      <c r="V32" s="41">
        <v>97.488654433479738</v>
      </c>
    </row>
    <row r="33" spans="9:22" x14ac:dyDescent="0.45">
      <c r="I33" s="41">
        <v>95.850367224481701</v>
      </c>
      <c r="J33" s="41">
        <v>95.924975710297744</v>
      </c>
      <c r="K33" s="41">
        <v>95.99964227023824</v>
      </c>
      <c r="L33" s="41">
        <v>96.074366949507223</v>
      </c>
      <c r="M33" s="41">
        <v>96.149149793343895</v>
      </c>
      <c r="N33" s="41">
        <v>96.223990847022719</v>
      </c>
      <c r="O33" s="41">
        <v>96.298890155853329</v>
      </c>
      <c r="P33" s="41">
        <v>96.373847765180642</v>
      </c>
      <c r="Q33" s="41">
        <v>96.448863720384921</v>
      </c>
      <c r="R33" s="41">
        <v>96.523938066881712</v>
      </c>
      <c r="S33" s="41">
        <v>96.599070850121919</v>
      </c>
      <c r="T33" s="41">
        <v>96.674262115591844</v>
      </c>
      <c r="U33" s="41">
        <v>96.749511908813147</v>
      </c>
      <c r="V33" s="41">
        <v>96.824820275342958</v>
      </c>
    </row>
    <row r="34" spans="9:22" x14ac:dyDescent="0.45">
      <c r="J34" s="41">
        <v>95.271789184491439</v>
      </c>
      <c r="K34" s="41">
        <v>95.345947313853557</v>
      </c>
      <c r="L34" s="41">
        <v>95.420163166789436</v>
      </c>
      <c r="M34" s="41">
        <v>95.494436788230232</v>
      </c>
      <c r="N34" s="41">
        <v>95.568768223142115</v>
      </c>
      <c r="O34" s="41">
        <v>95.643157516526188</v>
      </c>
      <c r="P34" s="41">
        <v>95.717604713418609</v>
      </c>
      <c r="Q34" s="41">
        <v>95.792109858890626</v>
      </c>
      <c r="R34" s="41">
        <v>95.866672998048529</v>
      </c>
      <c r="S34" s="41">
        <v>95.94129417603375</v>
      </c>
      <c r="T34" s="41">
        <v>96.015973438022826</v>
      </c>
      <c r="U34" s="41">
        <v>96.090710829227476</v>
      </c>
      <c r="V34" s="41">
        <v>96.165506394894592</v>
      </c>
    </row>
    <row r="35" spans="9:22" x14ac:dyDescent="0.45">
      <c r="K35" s="41">
        <v>94.696703593805765</v>
      </c>
      <c r="L35" s="41">
        <v>94.770414085184029</v>
      </c>
      <c r="M35" s="41">
        <v>94.844181951701373</v>
      </c>
      <c r="N35" s="41">
        <v>94.918007238017765</v>
      </c>
      <c r="O35" s="41">
        <v>94.991889988827879</v>
      </c>
      <c r="P35" s="41">
        <v>95.065830248861218</v>
      </c>
      <c r="Q35" s="41">
        <v>95.139828062882117</v>
      </c>
      <c r="R35" s="41">
        <v>95.213883475689727</v>
      </c>
      <c r="S35" s="41">
        <v>95.287996532118086</v>
      </c>
      <c r="T35" s="41">
        <v>95.362167277036122</v>
      </c>
      <c r="U35" s="41">
        <v>95.436395755347675</v>
      </c>
      <c r="V35" s="41">
        <v>95.510682011991548</v>
      </c>
    </row>
    <row r="36" spans="9:22" x14ac:dyDescent="0.45">
      <c r="L36" s="41">
        <v>94.125089371081643</v>
      </c>
      <c r="M36" s="41">
        <v>94.198354926536723</v>
      </c>
      <c r="N36" s="41">
        <v>94.271677510799464</v>
      </c>
      <c r="O36" s="41">
        <v>94.345057168260197</v>
      </c>
      <c r="P36" s="41">
        <v>94.418493943343861</v>
      </c>
      <c r="Q36" s="41">
        <v>94.491987880509967</v>
      </c>
      <c r="R36" s="41">
        <v>94.565539024252601</v>
      </c>
      <c r="S36" s="41">
        <v>94.639147419100524</v>
      </c>
      <c r="T36" s="41">
        <v>94.71281310961713</v>
      </c>
      <c r="U36" s="41">
        <v>94.7865361404005</v>
      </c>
      <c r="V36" s="41">
        <v>94.860316556083419</v>
      </c>
    </row>
    <row r="37" spans="9:22" x14ac:dyDescent="0.45">
      <c r="M37" s="41">
        <v>93.556925562228543</v>
      </c>
      <c r="N37" s="41">
        <v>93.62974886751077</v>
      </c>
      <c r="O37" s="41">
        <v>93.702628857359741</v>
      </c>
      <c r="P37" s="41">
        <v>93.775565575897886</v>
      </c>
      <c r="Q37" s="41">
        <v>93.848559067281954</v>
      </c>
      <c r="R37" s="41">
        <v>93.921609375703085</v>
      </c>
      <c r="S37" s="41">
        <v>93.994716545386822</v>
      </c>
      <c r="T37" s="41">
        <v>94.067880620593087</v>
      </c>
      <c r="U37" s="41">
        <v>94.141101645616303</v>
      </c>
      <c r="V37" s="41">
        <v>94.214379664785326</v>
      </c>
    </row>
    <row r="38" spans="9:22" x14ac:dyDescent="0.45">
      <c r="N38" s="41">
        <v>92.992191339640357</v>
      </c>
      <c r="O38" s="41">
        <v>93.064575064288135</v>
      </c>
      <c r="P38" s="41">
        <v>93.137015131339709</v>
      </c>
      <c r="Q38" s="41">
        <v>93.209511584651153</v>
      </c>
      <c r="R38" s="41">
        <v>93.282064468112694</v>
      </c>
      <c r="S38" s="41">
        <v>93.354673825648717</v>
      </c>
      <c r="T38" s="41">
        <v>93.42733970121779</v>
      </c>
      <c r="U38" s="41">
        <v>93.50006213881268</v>
      </c>
      <c r="V38" s="41">
        <v>93.572841182460422</v>
      </c>
    </row>
    <row r="39" spans="9:22" x14ac:dyDescent="0.45">
      <c r="P39" s="41">
        <v>92.502812798869599</v>
      </c>
      <c r="Q39" s="41">
        <v>92.57481559861354</v>
      </c>
      <c r="R39" s="41">
        <v>92.646874444255062</v>
      </c>
      <c r="S39" s="41">
        <v>92.718989379419455</v>
      </c>
      <c r="T39" s="41">
        <v>92.791160447765932</v>
      </c>
      <c r="U39" s="41">
        <v>92.863387692987729</v>
      </c>
      <c r="V39" s="41">
        <v>92.935671158812085</v>
      </c>
    </row>
    <row r="40" spans="9:22" x14ac:dyDescent="0.45">
      <c r="Q40" s="41">
        <v>91.944441478315198</v>
      </c>
      <c r="R40" s="41">
        <v>92.016009650212069</v>
      </c>
      <c r="S40" s="41">
        <v>92.087633529698735</v>
      </c>
      <c r="T40" s="41">
        <v>92.159313160137117</v>
      </c>
      <c r="U40" s="41">
        <v>92.231048584922931</v>
      </c>
      <c r="V40" s="41">
        <v>92.302839847485671</v>
      </c>
    </row>
    <row r="41" spans="9:22" x14ac:dyDescent="0.45">
      <c r="S41" s="41">
        <v>91.460576801567285</v>
      </c>
      <c r="T41" s="41">
        <v>91.531768340469227</v>
      </c>
      <c r="U41" s="41">
        <v>91.60301529379548</v>
      </c>
      <c r="V41" s="41">
        <v>91.674317704679822</v>
      </c>
    </row>
    <row r="42" spans="9:22" x14ac:dyDescent="0.45">
      <c r="V42" s="41">
        <v>91.050075387767194</v>
      </c>
    </row>
    <row r="394" spans="396:396" x14ac:dyDescent="0.45">
      <c r="OF394" s="44"/>
    </row>
    <row r="454" spans="337:338" x14ac:dyDescent="0.45">
      <c r="LY454" s="44"/>
      <c r="LZ454" s="44"/>
    </row>
  </sheetData>
  <conditionalFormatting sqref="A1:XFD468 A469 M469:XFD469 A470:XFD473 A474 M474:XFD474 A475:XFD1048576">
    <cfRule type="colorScale" priority="1">
      <colorScale>
        <cfvo type="min"/>
        <cfvo type="percentile" val="50"/>
        <cfvo type="max"/>
        <color theme="3" tint="0.89999084444715716"/>
        <color theme="3" tint="0.499984740745262"/>
        <color theme="3" tint="0.249977111117893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13D64-4DD1-4CD6-A6E2-2D0FE277A24B}">
  <sheetPr codeName="Feuil3"/>
  <dimension ref="B10:KC573"/>
  <sheetViews>
    <sheetView zoomScale="45" workbookViewId="0">
      <selection activeCell="H28" sqref="H28"/>
    </sheetView>
  </sheetViews>
  <sheetFormatPr baseColWidth="10" defaultRowHeight="14.25" x14ac:dyDescent="0.45"/>
  <cols>
    <col min="1" max="16384" width="10.6640625" style="42"/>
  </cols>
  <sheetData>
    <row r="10" spans="12:22" x14ac:dyDescent="0.45">
      <c r="V10" s="42">
        <v>2.661152751307542E-10</v>
      </c>
    </row>
    <row r="11" spans="12:22" x14ac:dyDescent="0.45">
      <c r="S11" s="42">
        <v>1.057962835397147E-10</v>
      </c>
      <c r="T11" s="42">
        <v>4.8447307324984902E-10</v>
      </c>
      <c r="U11" s="42">
        <v>1.6021589029461359E-9</v>
      </c>
      <c r="V11" s="42">
        <v>4.4195159945474558E-9</v>
      </c>
    </row>
    <row r="12" spans="12:22" x14ac:dyDescent="0.45">
      <c r="Q12" s="42">
        <v>1.0542661914364737E-10</v>
      </c>
      <c r="R12" s="42">
        <v>6.3695125164187818E-10</v>
      </c>
      <c r="S12" s="42">
        <v>2.492158440234805E-9</v>
      </c>
      <c r="T12" s="42">
        <v>7.7013451816328629E-9</v>
      </c>
      <c r="U12" s="42">
        <v>2.0177326499372887E-8</v>
      </c>
      <c r="V12" s="42">
        <v>4.666906050427174E-8</v>
      </c>
    </row>
    <row r="13" spans="12:22" x14ac:dyDescent="0.45">
      <c r="P13" s="42">
        <v>6.3472567062631323E-10</v>
      </c>
      <c r="Q13" s="42">
        <v>3.4116438431884857E-9</v>
      </c>
      <c r="R13" s="42">
        <v>1.2447627224867839E-8</v>
      </c>
      <c r="S13" s="42">
        <v>3.6257023077954364E-8</v>
      </c>
      <c r="T13" s="42">
        <v>9.0079899307407766E-8</v>
      </c>
      <c r="U13" s="42">
        <v>1.9837451418577146E-7</v>
      </c>
      <c r="V13" s="42">
        <v>3.9717783691203944E-7</v>
      </c>
    </row>
    <row r="14" spans="12:22" x14ac:dyDescent="0.45">
      <c r="N14" s="42">
        <v>4.4093096431729414E-10</v>
      </c>
      <c r="O14" s="42">
        <v>3.8213942571777968E-9</v>
      </c>
      <c r="P14" s="42">
        <v>1.7992362961582364E-8</v>
      </c>
      <c r="Q14" s="42">
        <v>6.1142070244838574E-8</v>
      </c>
      <c r="R14" s="42">
        <v>1.6768480903116386E-7</v>
      </c>
      <c r="S14" s="42">
        <v>3.9429641169043083E-7</v>
      </c>
      <c r="T14" s="42">
        <v>8.2501581060101552E-7</v>
      </c>
      <c r="U14" s="42">
        <v>1.5746977139458762E-6</v>
      </c>
      <c r="V14" s="42">
        <v>2.7903980572052094E-6</v>
      </c>
    </row>
    <row r="15" spans="12:22" x14ac:dyDescent="0.45">
      <c r="M15" s="42">
        <v>2.6546445698300046E-9</v>
      </c>
      <c r="N15" s="42">
        <v>2.1237115247015696E-8</v>
      </c>
      <c r="O15" s="42">
        <v>9.2985938312349484E-8</v>
      </c>
      <c r="P15" s="42">
        <v>2.9525374525445953E-7</v>
      </c>
      <c r="Q15" s="42">
        <v>7.6071361714768647E-7</v>
      </c>
      <c r="R15" s="42">
        <v>1.688311580038489E-6</v>
      </c>
      <c r="S15" s="42">
        <v>3.3479559142063786E-6</v>
      </c>
      <c r="T15" s="42">
        <v>6.0784838587823713E-6</v>
      </c>
      <c r="U15" s="42">
        <v>1.0279635260465286E-5</v>
      </c>
      <c r="V15" s="42">
        <v>1.6399507035520361E-5</v>
      </c>
    </row>
    <row r="16" spans="12:22" x14ac:dyDescent="0.45">
      <c r="L16" s="42">
        <v>1.5982406232200187E-8</v>
      </c>
      <c r="M16" s="42">
        <v>1.1720408438000885E-7</v>
      </c>
      <c r="N16" s="42">
        <v>4.7414287359350686E-7</v>
      </c>
      <c r="O16" s="42">
        <v>1.4005241657088404E-6</v>
      </c>
      <c r="P16" s="42">
        <v>3.3767379944902357E-6</v>
      </c>
      <c r="Q16" s="42">
        <v>7.049726426819963E-6</v>
      </c>
      <c r="R16" s="42">
        <v>1.3211326678938767E-5</v>
      </c>
      <c r="S16" s="42">
        <v>2.2761131283937251E-5</v>
      </c>
      <c r="T16" s="42">
        <v>3.6661189562613938E-5</v>
      </c>
      <c r="U16" s="42">
        <v>5.5889215580472222E-5</v>
      </c>
      <c r="V16" s="42">
        <v>8.1395343558984243E-5</v>
      </c>
    </row>
    <row r="17" spans="2:22" x14ac:dyDescent="0.45">
      <c r="K17" s="42">
        <v>9.622279075671931E-8</v>
      </c>
      <c r="L17" s="42">
        <v>6.4148402386775718E-7</v>
      </c>
      <c r="M17" s="42">
        <v>2.3815048060863735E-6</v>
      </c>
      <c r="N17" s="42">
        <v>6.5074737252492261E-6</v>
      </c>
      <c r="O17" s="42">
        <v>1.4614910564594019E-5</v>
      </c>
      <c r="P17" s="42">
        <v>2.8592739953801774E-5</v>
      </c>
      <c r="Q17" s="42">
        <v>5.047804651179159E-5</v>
      </c>
      <c r="R17" s="42">
        <v>8.2308369223976058E-5</v>
      </c>
      <c r="S17" s="42">
        <v>1.2599332589382362E-4</v>
      </c>
      <c r="T17" s="42">
        <v>1.8321676098313817E-4</v>
      </c>
      <c r="U17" s="42">
        <v>2.5537227970463214E-4</v>
      </c>
      <c r="V17" s="42">
        <v>3.4352965832564386E-4</v>
      </c>
    </row>
    <row r="18" spans="2:22" x14ac:dyDescent="0.45">
      <c r="J18" s="42">
        <v>5.7931361063278691E-7</v>
      </c>
      <c r="K18" s="42">
        <v>3.4758749023774957E-6</v>
      </c>
      <c r="L18" s="42">
        <v>1.1747146958122781E-5</v>
      </c>
      <c r="M18" s="42">
        <v>2.9501909859208494E-5</v>
      </c>
      <c r="N18" s="42">
        <v>6.1393354994157957E-5</v>
      </c>
      <c r="O18" s="42">
        <v>1.1207404154711122E-4</v>
      </c>
      <c r="P18" s="42">
        <v>1.857430895378005E-4</v>
      </c>
      <c r="Q18" s="42">
        <v>2.8583999254022587E-4</v>
      </c>
      <c r="R18" s="42">
        <v>4.1488637668385143E-4</v>
      </c>
      <c r="S18" s="42">
        <v>5.7444953131822324E-4</v>
      </c>
      <c r="T18" s="42">
        <v>7.6519264632974313E-4</v>
      </c>
      <c r="U18" s="42">
        <v>9.8697844282243661E-4</v>
      </c>
      <c r="V18" s="42">
        <v>1.2389993069330061E-3</v>
      </c>
    </row>
    <row r="19" spans="2:22" x14ac:dyDescent="0.45">
      <c r="I19" s="42">
        <v>3.4877834744009429E-6</v>
      </c>
      <c r="J19" s="42">
        <v>1.8601475679371672E-5</v>
      </c>
      <c r="K19" s="42">
        <v>5.6676260962272175E-5</v>
      </c>
      <c r="L19" s="42">
        <v>1.2982229394667292E-4</v>
      </c>
      <c r="M19" s="42">
        <v>2.4881212352566268E-4</v>
      </c>
      <c r="N19" s="42">
        <v>4.2178087329779033E-4</v>
      </c>
      <c r="O19" s="42">
        <v>6.5372915023453968E-4</v>
      </c>
      <c r="P19" s="42">
        <v>9.4660874358583357E-4</v>
      </c>
      <c r="Q19" s="42">
        <v>1.2997451088719789E-3</v>
      </c>
      <c r="R19" s="42">
        <v>1.7104016511014918E-3</v>
      </c>
      <c r="S19" s="42">
        <v>2.1743578129164273E-3</v>
      </c>
      <c r="T19" s="42">
        <v>2.6864298738945697E-3</v>
      </c>
      <c r="U19" s="42">
        <v>3.2409033935934944E-3</v>
      </c>
      <c r="V19" s="42">
        <v>3.8318709200460578E-3</v>
      </c>
    </row>
    <row r="20" spans="2:22" x14ac:dyDescent="0.45">
      <c r="H20" s="42">
        <v>2.0998356229135607E-5</v>
      </c>
      <c r="I20" s="42">
        <v>9.7992138451622325E-5</v>
      </c>
      <c r="J20" s="42">
        <v>2.6597814412029761E-4</v>
      </c>
      <c r="K20" s="42">
        <v>5.506203500941462E-4</v>
      </c>
      <c r="L20" s="42">
        <v>9.650905530497277E-4</v>
      </c>
      <c r="M20" s="42">
        <v>1.5109920208572988E-3</v>
      </c>
      <c r="N20" s="42">
        <v>2.1810941841993391E-3</v>
      </c>
      <c r="O20" s="42">
        <v>2.9623925407271869E-3</v>
      </c>
      <c r="P20" s="42">
        <v>3.8387641816313759E-3</v>
      </c>
      <c r="Q20" s="42">
        <v>4.7929776511924701E-3</v>
      </c>
      <c r="R20" s="42">
        <v>5.8080678209994994E-3</v>
      </c>
      <c r="S20" s="42">
        <v>6.8681878388798748E-3</v>
      </c>
      <c r="T20" s="42">
        <v>7.9590717643199128E-3</v>
      </c>
      <c r="U20" s="42">
        <v>9.0682277233765825E-3</v>
      </c>
      <c r="V20" s="42">
        <v>1.0184956251448826E-2</v>
      </c>
    </row>
    <row r="21" spans="2:22" x14ac:dyDescent="0.45">
      <c r="G21" s="42">
        <v>1.2642154180579539E-4</v>
      </c>
      <c r="H21" s="42">
        <v>5.0568518354921475E-4</v>
      </c>
      <c r="I21" s="42">
        <v>1.2045116705337745E-3</v>
      </c>
      <c r="J21" s="42">
        <v>2.2287519529536367E-3</v>
      </c>
      <c r="K21" s="42">
        <v>3.5432873100272252E-3</v>
      </c>
      <c r="L21" s="42">
        <v>5.0927096146171063E-3</v>
      </c>
      <c r="M21" s="42">
        <v>6.8162054772271073E-3</v>
      </c>
      <c r="N21" s="42">
        <v>8.65631106618415E-3</v>
      </c>
      <c r="O21" s="42">
        <v>1.0563118820516115E-2</v>
      </c>
      <c r="P21" s="42">
        <v>1.2495633156870911E-2</v>
      </c>
      <c r="Q21" s="42">
        <v>1.4421555629009646E-2</v>
      </c>
      <c r="R21" s="42">
        <v>1.6316327655178715E-2</v>
      </c>
      <c r="S21" s="42">
        <v>1.8161914328345279E-2</v>
      </c>
      <c r="T21" s="42">
        <v>1.9945586065837392E-2</v>
      </c>
      <c r="U21" s="42">
        <v>2.1658818375757654E-2</v>
      </c>
      <c r="V21" s="42">
        <v>2.3296353532149441E-2</v>
      </c>
    </row>
    <row r="22" spans="2:22" x14ac:dyDescent="0.45">
      <c r="F22" s="42">
        <v>7.6112654049784385E-4</v>
      </c>
      <c r="G22" s="42">
        <v>2.5370835330870978E-3</v>
      </c>
      <c r="H22" s="42">
        <v>5.2010111256605056E-3</v>
      </c>
      <c r="I22" s="42">
        <v>8.4851019165168035E-3</v>
      </c>
      <c r="J22" s="42">
        <v>1.2119201449688246E-2</v>
      </c>
      <c r="K22" s="42">
        <v>1.588483830060906E-2</v>
      </c>
      <c r="L22" s="42">
        <v>1.9625011608805257E-2</v>
      </c>
      <c r="M22" s="42">
        <v>2.3236229559491919E-2</v>
      </c>
      <c r="N22" s="42">
        <v>2.6655943522473229E-2</v>
      </c>
      <c r="O22" s="42">
        <v>2.9850744830270722E-2</v>
      </c>
      <c r="P22" s="42">
        <v>3.2806956197786535E-2</v>
      </c>
      <c r="Q22" s="42">
        <v>3.5523707089402529E-2</v>
      </c>
      <c r="R22" s="42">
        <v>3.8008069484605105E-2</v>
      </c>
      <c r="S22" s="42">
        <v>4.027174636225167E-2</v>
      </c>
      <c r="T22" s="42">
        <v>4.2328871966760329E-2</v>
      </c>
      <c r="U22" s="42">
        <v>4.4194584100258227E-2</v>
      </c>
      <c r="V22" s="42">
        <v>4.5884121802770343E-2</v>
      </c>
    </row>
    <row r="23" spans="2:22" x14ac:dyDescent="0.45">
      <c r="E23" s="42">
        <v>4.5823963413565844E-3</v>
      </c>
      <c r="F23" s="42">
        <v>1.2219699806735049E-2</v>
      </c>
      <c r="G23" s="42">
        <v>2.1002568188064737E-2</v>
      </c>
      <c r="H23" s="42">
        <v>2.9700543704240408E-2</v>
      </c>
      <c r="I23" s="42">
        <v>3.7694866726896287E-2</v>
      </c>
      <c r="J23" s="42">
        <v>4.4748645089726757E-2</v>
      </c>
      <c r="K23" s="42">
        <v>5.0828883870070722E-2</v>
      </c>
      <c r="L23" s="42">
        <v>5.5998446552870805E-2</v>
      </c>
      <c r="M23" s="42">
        <v>6.0357370562367438E-2</v>
      </c>
      <c r="N23" s="42">
        <v>6.4013426058056738E-2</v>
      </c>
      <c r="O23" s="42">
        <v>6.706861004901904E-2</v>
      </c>
      <c r="P23" s="42">
        <v>6.9613854456113622E-2</v>
      </c>
      <c r="Q23" s="42">
        <v>7.1727750387463152E-2</v>
      </c>
      <c r="R23" s="42">
        <v>7.3477098386316039E-2</v>
      </c>
      <c r="S23" s="42">
        <v>7.4918180738883539E-2</v>
      </c>
      <c r="T23" s="42">
        <v>7.6098221666820551E-2</v>
      </c>
      <c r="U23" s="42">
        <v>7.7056792997661827E-2</v>
      </c>
      <c r="V23" s="42">
        <v>7.7827068638663816E-2</v>
      </c>
    </row>
    <row r="24" spans="2:22" x14ac:dyDescent="0.45">
      <c r="D24" s="42">
        <v>2.758852189743163E-2</v>
      </c>
      <c r="E24" s="42">
        <v>5.5176936462838361E-2</v>
      </c>
      <c r="F24" s="42">
        <v>7.6634484905468106E-2</v>
      </c>
      <c r="G24" s="42">
        <v>9.1961203002556613E-2</v>
      </c>
      <c r="H24" s="42">
        <v>0.10249822479950864</v>
      </c>
      <c r="I24" s="42">
        <v>0.10957248241705074</v>
      </c>
      <c r="J24" s="42">
        <v>0.11420814648937981</v>
      </c>
      <c r="K24" s="42">
        <v>0.11713609005832827</v>
      </c>
      <c r="L24" s="42">
        <v>0.11886435570256305</v>
      </c>
      <c r="M24" s="42">
        <v>0.11974446078052138</v>
      </c>
      <c r="N24" s="42">
        <v>0.1200209044360937</v>
      </c>
      <c r="O24" s="42">
        <v>0.11986539984399543</v>
      </c>
      <c r="P24" s="42">
        <v>0.11939990691799306</v>
      </c>
      <c r="Q24" s="42">
        <v>0.11871203758080699</v>
      </c>
      <c r="R24" s="42">
        <v>0.11786540480340302</v>
      </c>
      <c r="S24" s="42">
        <v>0.11690664133757624</v>
      </c>
      <c r="T24" s="42">
        <v>0.11587021666341336</v>
      </c>
      <c r="U24" s="42">
        <v>0.11478178518939</v>
      </c>
      <c r="V24" s="42">
        <v>0.11366054339444098</v>
      </c>
    </row>
    <row r="25" spans="2:22" x14ac:dyDescent="0.45">
      <c r="C25" s="42">
        <v>0.16609792863515857</v>
      </c>
      <c r="D25" s="42">
        <v>0.22146347405262884</v>
      </c>
      <c r="E25" s="42">
        <v>0.23530448346357302</v>
      </c>
      <c r="F25" s="42">
        <v>0.23376609093941972</v>
      </c>
      <c r="G25" s="42">
        <v>0.22684494303859884</v>
      </c>
      <c r="H25" s="42">
        <v>0.21838589323742183</v>
      </c>
      <c r="I25" s="42">
        <v>0.20985211606245779</v>
      </c>
      <c r="J25" s="42">
        <v>0.20177167958884279</v>
      </c>
      <c r="K25" s="42">
        <v>0.19430300115917185</v>
      </c>
      <c r="L25" s="42">
        <v>0.18745998754424134</v>
      </c>
      <c r="M25" s="42">
        <v>0.18120305222681651</v>
      </c>
      <c r="N25" s="42">
        <v>0.17547614958717198</v>
      </c>
      <c r="O25" s="42">
        <v>0.17022164521420668</v>
      </c>
      <c r="P25" s="42">
        <v>0.16538594612036517</v>
      </c>
      <c r="Q25" s="42">
        <v>0.16092126013502564</v>
      </c>
      <c r="R25" s="42">
        <v>0.15678576063365129</v>
      </c>
      <c r="S25" s="42">
        <v>0.15294313515269797</v>
      </c>
      <c r="T25" s="42">
        <v>0.14936193945250062</v>
      </c>
      <c r="U25" s="42">
        <v>0.14601493485473716</v>
      </c>
      <c r="V25" s="42">
        <v>0.14287847878537083</v>
      </c>
    </row>
    <row r="26" spans="2:22" x14ac:dyDescent="0.45">
      <c r="B26" s="42">
        <v>1</v>
      </c>
      <c r="C26" s="42">
        <v>0.6666653698581172</v>
      </c>
      <c r="D26" s="42">
        <v>0.49999805479061782</v>
      </c>
      <c r="E26" s="42">
        <v>0.40740502993475325</v>
      </c>
      <c r="F26" s="42">
        <v>0.35030591629072066</v>
      </c>
      <c r="G26" s="42">
        <v>0.31172536319265903</v>
      </c>
      <c r="H26" s="42">
        <v>0.28369010460025212</v>
      </c>
      <c r="I26" s="42">
        <v>0.26217064138756574</v>
      </c>
      <c r="J26" s="42">
        <v>0.24497003899631858</v>
      </c>
      <c r="K26" s="42">
        <v>0.23080030195578533</v>
      </c>
      <c r="L26" s="42">
        <v>0.21885575468045862</v>
      </c>
      <c r="M26" s="42">
        <v>0.20860393260299426</v>
      </c>
      <c r="N26" s="42">
        <v>0.19967661939715009</v>
      </c>
      <c r="O26" s="42">
        <v>0.19180959222215704</v>
      </c>
      <c r="P26" s="42">
        <v>0.18480742568172681</v>
      </c>
      <c r="Q26" s="42">
        <v>0.17852191100482784</v>
      </c>
      <c r="R26" s="42">
        <v>0.17283825732278862</v>
      </c>
      <c r="S26" s="42">
        <v>0.16766594764752235</v>
      </c>
      <c r="T26" s="42">
        <v>0.16293249188246611</v>
      </c>
      <c r="U26" s="42">
        <v>0.15857904613152576</v>
      </c>
      <c r="V26" s="42">
        <v>0.15455727059259913</v>
      </c>
    </row>
    <row r="27" spans="2:22" x14ac:dyDescent="0.45">
      <c r="C27" s="42">
        <v>0.16723670150672426</v>
      </c>
      <c r="D27" s="42">
        <v>0.22298183492800439</v>
      </c>
      <c r="E27" s="42">
        <v>0.23691773875510094</v>
      </c>
      <c r="F27" s="42">
        <v>0.235368798960154</v>
      </c>
      <c r="G27" s="42">
        <v>0.22840019944109907</v>
      </c>
      <c r="H27" s="42">
        <v>0.21988315411668863</v>
      </c>
      <c r="I27" s="42">
        <v>0.21129086908423095</v>
      </c>
      <c r="J27" s="42">
        <v>0.20315503287171593</v>
      </c>
      <c r="K27" s="42">
        <v>0.19563514893609654</v>
      </c>
      <c r="L27" s="42">
        <v>0.18874521939390954</v>
      </c>
      <c r="M27" s="42">
        <v>0.18244538632107996</v>
      </c>
      <c r="N27" s="42">
        <v>0.17667921984948753</v>
      </c>
      <c r="O27" s="42">
        <v>0.17138869042262181</v>
      </c>
      <c r="P27" s="42">
        <v>0.16651983761645009</v>
      </c>
      <c r="Q27" s="42">
        <v>0.16202454159588367</v>
      </c>
      <c r="R27" s="42">
        <v>0.15786068897377714</v>
      </c>
      <c r="S27" s="42">
        <v>0.15399171832521819</v>
      </c>
      <c r="T27" s="42">
        <v>0.15038596982999899</v>
      </c>
      <c r="U27" s="42">
        <v>0.14701601805908121</v>
      </c>
      <c r="V27" s="42">
        <v>0.14385805834366255</v>
      </c>
    </row>
    <row r="28" spans="2:22" x14ac:dyDescent="0.45">
      <c r="D28" s="42">
        <v>2.7968114331317323E-2</v>
      </c>
      <c r="E28" s="42">
        <v>5.5936119854200245E-2</v>
      </c>
      <c r="F28" s="42">
        <v>7.7688904231587794E-2</v>
      </c>
      <c r="G28" s="42">
        <v>9.3226503732417171E-2</v>
      </c>
      <c r="H28" s="42">
        <v>0.10390850516078347</v>
      </c>
      <c r="I28" s="42">
        <v>0.11108009799193726</v>
      </c>
      <c r="J28" s="42">
        <v>0.11577954449577273</v>
      </c>
      <c r="K28" s="42">
        <v>0.1187477738492714</v>
      </c>
      <c r="L28" s="42">
        <v>0.12049981882308182</v>
      </c>
      <c r="M28" s="42">
        <v>0.12139203333038308</v>
      </c>
      <c r="N28" s="42">
        <v>0.12167228059327953</v>
      </c>
      <c r="O28" s="42">
        <v>0.12151463640114078</v>
      </c>
      <c r="P28" s="42">
        <v>0.12104273872503227</v>
      </c>
      <c r="Q28" s="42">
        <v>0.12034540494494061</v>
      </c>
      <c r="R28" s="42">
        <v>0.11948712328738111</v>
      </c>
      <c r="S28" s="42">
        <v>0.11851516812729164</v>
      </c>
      <c r="T28" s="42">
        <v>0.11746448321186655</v>
      </c>
      <c r="U28" s="42">
        <v>0.11636107593110535</v>
      </c>
      <c r="V28" s="42">
        <v>0.11522440689132926</v>
      </c>
    </row>
    <row r="29" spans="2:22" x14ac:dyDescent="0.45">
      <c r="E29" s="42">
        <v>4.6772951881776711E-3</v>
      </c>
      <c r="F29" s="42">
        <v>1.2472762906158338E-2</v>
      </c>
      <c r="G29" s="42">
        <v>2.1437519544230659E-2</v>
      </c>
      <c r="H29" s="42">
        <v>3.0315625233603205E-2</v>
      </c>
      <c r="I29" s="42">
        <v>3.8475506182722746E-2</v>
      </c>
      <c r="J29" s="42">
        <v>4.5675364321980438E-2</v>
      </c>
      <c r="K29" s="42">
        <v>5.1881521421759592E-2</v>
      </c>
      <c r="L29" s="42">
        <v>5.7158142836118024E-2</v>
      </c>
      <c r="M29" s="42">
        <v>6.1607337705752725E-2</v>
      </c>
      <c r="N29" s="42">
        <v>6.5339108051338426E-2</v>
      </c>
      <c r="O29" s="42">
        <v>6.8457563181988978E-2</v>
      </c>
      <c r="P29" s="42">
        <v>7.1055518167273624E-2</v>
      </c>
      <c r="Q29" s="42">
        <v>7.3213191692729288E-2</v>
      </c>
      <c r="R29" s="42">
        <v>7.4998767702742899E-2</v>
      </c>
      <c r="S29" s="42">
        <v>7.6469694058665535E-2</v>
      </c>
      <c r="T29" s="42">
        <v>7.7674172969795258E-2</v>
      </c>
      <c r="U29" s="42">
        <v>7.8652595773375467E-2</v>
      </c>
      <c r="V29" s="42">
        <v>7.9438823388183491E-2</v>
      </c>
    </row>
    <row r="30" spans="2:22" x14ac:dyDescent="0.45">
      <c r="F30" s="42">
        <v>7.8221541925856434E-4</v>
      </c>
      <c r="G30" s="42">
        <v>2.6073796588959369E-3</v>
      </c>
      <c r="H30" s="42">
        <v>5.3451179033008845E-3</v>
      </c>
      <c r="I30" s="42">
        <v>8.7202024892691962E-3</v>
      </c>
      <c r="J30" s="42">
        <v>1.2454993668869431E-2</v>
      </c>
      <c r="K30" s="42">
        <v>1.6324966730569938E-2</v>
      </c>
      <c r="L30" s="42">
        <v>2.0168770719312768E-2</v>
      </c>
      <c r="M30" s="42">
        <v>2.3880046326129303E-2</v>
      </c>
      <c r="N30" s="42">
        <v>2.739451185703377E-2</v>
      </c>
      <c r="O30" s="42">
        <v>3.0677832975935772E-2</v>
      </c>
      <c r="P30" s="42">
        <v>3.3715953434146399E-2</v>
      </c>
      <c r="Q30" s="42">
        <v>3.65079785767062E-2</v>
      </c>
      <c r="R30" s="42">
        <v>3.9061176329377695E-2</v>
      </c>
      <c r="S30" s="42">
        <v>4.138757393066185E-2</v>
      </c>
      <c r="T30" s="42">
        <v>4.3501697248409014E-2</v>
      </c>
      <c r="U30" s="42">
        <v>4.5419103515293199E-2</v>
      </c>
      <c r="V30" s="42">
        <v>4.7155454006581513E-2</v>
      </c>
    </row>
    <row r="31" spans="2:22" x14ac:dyDescent="0.45">
      <c r="G31" s="42">
        <v>1.3081512658519553E-4</v>
      </c>
      <c r="H31" s="42">
        <v>5.2325948848494128E-4</v>
      </c>
      <c r="I31" s="42">
        <v>1.2463726071076408E-3</v>
      </c>
      <c r="J31" s="42">
        <v>2.3062087733465211E-3</v>
      </c>
      <c r="K31" s="42">
        <v>3.6664287697298378E-3</v>
      </c>
      <c r="L31" s="42">
        <v>5.2696988455051197E-3</v>
      </c>
      <c r="M31" s="42">
        <v>7.0530921360754638E-3</v>
      </c>
      <c r="N31" s="42">
        <v>8.9571477433222756E-3</v>
      </c>
      <c r="O31" s="42">
        <v>1.093022364632814E-2</v>
      </c>
      <c r="P31" s="42">
        <v>1.2929899523877597E-2</v>
      </c>
      <c r="Q31" s="42">
        <v>1.4922754447062599E-2</v>
      </c>
      <c r="R31" s="42">
        <v>1.6883376338737401E-2</v>
      </c>
      <c r="S31" s="42">
        <v>1.8793103516780277E-2</v>
      </c>
      <c r="T31" s="42">
        <v>2.0638764001513026E-2</v>
      </c>
      <c r="U31" s="42">
        <v>2.2411537045513429E-2</v>
      </c>
      <c r="V31" s="42">
        <v>2.4105982198649244E-2</v>
      </c>
    </row>
    <row r="32" spans="2:22" x14ac:dyDescent="0.45">
      <c r="H32" s="42">
        <v>2.1877090277182232E-5</v>
      </c>
      <c r="I32" s="42">
        <v>1.0209288936871284E-4</v>
      </c>
      <c r="J32" s="42">
        <v>2.7710873210118635E-4</v>
      </c>
      <c r="K32" s="42">
        <v>5.7366257511952737E-4</v>
      </c>
      <c r="L32" s="42">
        <v>1.005477425215325E-3</v>
      </c>
      <c r="M32" s="42">
        <v>1.5742236434291999E-3</v>
      </c>
      <c r="N32" s="42">
        <v>2.2723680773491755E-3</v>
      </c>
      <c r="O32" s="42">
        <v>3.086362015386832E-3</v>
      </c>
      <c r="P32" s="42">
        <v>3.9994078412428366E-3</v>
      </c>
      <c r="Q32" s="42">
        <v>4.9935530015104293E-3</v>
      </c>
      <c r="R32" s="42">
        <v>6.0511224152036084E-3</v>
      </c>
      <c r="S32" s="42">
        <v>7.1556060749433737E-3</v>
      </c>
      <c r="T32" s="42">
        <v>8.2921410427159604E-3</v>
      </c>
      <c r="U32" s="42">
        <v>9.4477126875815269E-3</v>
      </c>
      <c r="V32" s="42">
        <v>1.0611173796544009E-2</v>
      </c>
    </row>
    <row r="33" spans="9:22" x14ac:dyDescent="0.45">
      <c r="I33" s="42">
        <v>3.6586524165253235E-6</v>
      </c>
      <c r="J33" s="42">
        <v>1.9512774931723282E-5</v>
      </c>
      <c r="K33" s="42">
        <v>5.945287047083338E-5</v>
      </c>
      <c r="L33" s="42">
        <v>1.3618237856784045E-4</v>
      </c>
      <c r="M33" s="42">
        <v>2.6100160279448947E-4</v>
      </c>
      <c r="N33" s="42">
        <v>4.424442121178618E-4</v>
      </c>
      <c r="O33" s="42">
        <v>6.8575579673299406E-4</v>
      </c>
      <c r="P33" s="42">
        <v>9.9298376539180225E-4</v>
      </c>
      <c r="Q33" s="42">
        <v>1.3634205272130327E-3</v>
      </c>
      <c r="R33" s="42">
        <v>1.794195419535492E-3</v>
      </c>
      <c r="S33" s="42">
        <v>2.2808811169532589E-3</v>
      </c>
      <c r="T33" s="42">
        <v>2.8180399449385385E-3</v>
      </c>
      <c r="U33" s="42">
        <v>3.3996775086779169E-3</v>
      </c>
      <c r="V33" s="42">
        <v>4.0195969459662726E-3</v>
      </c>
    </row>
    <row r="34" spans="9:22" x14ac:dyDescent="0.45">
      <c r="J34" s="42">
        <v>6.1186096211050166E-7</v>
      </c>
      <c r="K34" s="42">
        <v>3.6711586314663726E-6</v>
      </c>
      <c r="L34" s="42">
        <v>1.2407132351371988E-5</v>
      </c>
      <c r="M34" s="42">
        <v>3.1159404197325645E-5</v>
      </c>
      <c r="N34" s="42">
        <v>6.484259400205593E-5</v>
      </c>
      <c r="O34" s="42">
        <v>1.1837065387652501E-4</v>
      </c>
      <c r="P34" s="42">
        <v>1.9617862136448217E-4</v>
      </c>
      <c r="Q34" s="42">
        <v>3.0189922977531944E-4</v>
      </c>
      <c r="R34" s="42">
        <v>4.3819577677389553E-4</v>
      </c>
      <c r="S34" s="42">
        <v>6.0672360612626559E-4</v>
      </c>
      <c r="T34" s="42">
        <v>8.0818316745978266E-4</v>
      </c>
      <c r="U34" s="42">
        <v>1.0424294691749835E-3</v>
      </c>
      <c r="V34" s="42">
        <v>1.3086095235679321E-3</v>
      </c>
    </row>
    <row r="35" spans="9:22" x14ac:dyDescent="0.45">
      <c r="K35" s="42">
        <v>1.0232560908526858E-7</v>
      </c>
      <c r="L35" s="42">
        <v>6.821694002692349E-7</v>
      </c>
      <c r="M35" s="42">
        <v>2.532548972144307E-6</v>
      </c>
      <c r="N35" s="42">
        <v>6.9202026600610822E-6</v>
      </c>
      <c r="O35" s="42">
        <v>1.5541844229472103E-5</v>
      </c>
      <c r="P35" s="42">
        <v>3.0406201152871595E-5</v>
      </c>
      <c r="Q35" s="42">
        <v>5.3679557765399248E-5</v>
      </c>
      <c r="R35" s="42">
        <v>8.7528681587745898E-5</v>
      </c>
      <c r="S35" s="42">
        <v>1.3398430570692529E-4</v>
      </c>
      <c r="T35" s="42">
        <v>1.9483707045800917E-4</v>
      </c>
      <c r="U35" s="42">
        <v>2.7156896883851763E-4</v>
      </c>
      <c r="V35" s="42">
        <v>3.6531762642550217E-4</v>
      </c>
    </row>
    <row r="36" spans="9:22" x14ac:dyDescent="0.45">
      <c r="L36" s="42">
        <v>1.7112597343016649E-8</v>
      </c>
      <c r="M36" s="42">
        <v>1.254921364061724E-7</v>
      </c>
      <c r="N36" s="42">
        <v>5.0767174610976078E-7</v>
      </c>
      <c r="O36" s="42">
        <v>1.4995618162507971E-6</v>
      </c>
      <c r="P36" s="42">
        <v>3.6155230191880334E-6</v>
      </c>
      <c r="Q36" s="42">
        <v>7.5482457379295409E-6</v>
      </c>
      <c r="R36" s="42">
        <v>1.4145561722471752E-5</v>
      </c>
      <c r="S36" s="42">
        <v>2.4370677924398989E-5</v>
      </c>
      <c r="T36" s="42">
        <v>3.9253674696339676E-5</v>
      </c>
      <c r="U36" s="42">
        <v>5.9841404864999502E-5</v>
      </c>
      <c r="V36" s="42">
        <v>8.7151191110727957E-5</v>
      </c>
    </row>
    <row r="37" spans="9:22" x14ac:dyDescent="0.45">
      <c r="M37" s="42">
        <v>2.861854333893964E-9</v>
      </c>
      <c r="N37" s="42">
        <v>2.2894790135763218E-8</v>
      </c>
      <c r="O37" s="42">
        <v>1.0024400764673391E-7</v>
      </c>
      <c r="P37" s="42">
        <v>3.1829994120105088E-7</v>
      </c>
      <c r="Q37" s="42">
        <v>8.2009154329583348E-7</v>
      </c>
      <c r="R37" s="42">
        <v>1.8200936831177954E-6</v>
      </c>
      <c r="S37" s="42">
        <v>3.6092824824973884E-6</v>
      </c>
      <c r="T37" s="42">
        <v>6.5529433104664917E-6</v>
      </c>
      <c r="U37" s="42">
        <v>1.1082017930373847E-5</v>
      </c>
      <c r="V37" s="42">
        <v>1.767957971387755E-5</v>
      </c>
    </row>
    <row r="38" spans="9:22" x14ac:dyDescent="0.45">
      <c r="N38" s="42">
        <v>4.786070789929626E-10</v>
      </c>
      <c r="O38" s="42">
        <v>4.1479199493544263E-9</v>
      </c>
      <c r="P38" s="42">
        <v>1.9529751772006653E-8</v>
      </c>
      <c r="Q38" s="42">
        <v>6.6366460995146162E-8</v>
      </c>
      <c r="R38" s="42">
        <v>1.8201292978041069E-7</v>
      </c>
      <c r="S38" s="42">
        <v>4.2798775576947699E-7</v>
      </c>
      <c r="T38" s="42">
        <v>8.9551072437354744E-7</v>
      </c>
      <c r="U38" s="42">
        <v>1.7092505044845256E-6</v>
      </c>
      <c r="V38" s="42">
        <v>3.0288284822514518E-6</v>
      </c>
    </row>
    <row r="39" spans="9:22" x14ac:dyDescent="0.45">
      <c r="P39" s="42">
        <v>6.9368445044907273E-10</v>
      </c>
      <c r="Q39" s="42">
        <v>3.7285466683385182E-9</v>
      </c>
      <c r="R39" s="42">
        <v>1.3603869908857752E-8</v>
      </c>
      <c r="S39" s="42">
        <v>3.9624887243993313E-8</v>
      </c>
      <c r="T39" s="42">
        <v>9.844729517257749E-8</v>
      </c>
      <c r="U39" s="42">
        <v>2.1680124537012981E-7</v>
      </c>
      <c r="V39" s="42">
        <v>4.3407113070584419E-7</v>
      </c>
    </row>
    <row r="40" spans="9:22" x14ac:dyDescent="0.45">
      <c r="Q40" s="42">
        <v>1.1600949938149581E-10</v>
      </c>
      <c r="R40" s="42">
        <v>7.0088936204485829E-10</v>
      </c>
      <c r="S40" s="42">
        <v>2.74232499709125E-9</v>
      </c>
      <c r="T40" s="42">
        <v>8.4744176220079337E-9</v>
      </c>
      <c r="U40" s="42">
        <v>2.2202756430079479E-8</v>
      </c>
      <c r="V40" s="42">
        <v>5.1353769947302511E-8</v>
      </c>
    </row>
    <row r="41" spans="9:22" x14ac:dyDescent="0.45">
      <c r="S41" s="42">
        <v>1.1721442503102433E-10</v>
      </c>
      <c r="T41" s="42">
        <v>5.3676018499020992E-10</v>
      </c>
      <c r="U41" s="42">
        <v>1.7750730775721238E-9</v>
      </c>
      <c r="V41" s="42">
        <v>4.8964954995714001E-9</v>
      </c>
    </row>
    <row r="42" spans="9:22" x14ac:dyDescent="0.45">
      <c r="V42" s="42">
        <v>2.9685736642553726E-10</v>
      </c>
    </row>
    <row r="573" spans="2:289" x14ac:dyDescent="0.45">
      <c r="B573" s="41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1"/>
      <c r="AH573" s="41"/>
      <c r="AI573" s="41"/>
      <c r="AJ573" s="41"/>
      <c r="AK573" s="41"/>
      <c r="AL573" s="41"/>
      <c r="AM573" s="41"/>
      <c r="AN573" s="41"/>
      <c r="AO573" s="41"/>
      <c r="AP573" s="41"/>
      <c r="AQ573" s="41"/>
      <c r="AR573" s="41"/>
      <c r="AS573" s="41"/>
      <c r="AT573" s="41"/>
      <c r="AU573" s="41"/>
      <c r="AV573" s="41"/>
      <c r="AW573" s="41"/>
      <c r="AX573" s="41"/>
      <c r="AY573" s="41"/>
      <c r="AZ573" s="41"/>
      <c r="BA573" s="41"/>
      <c r="BB573" s="41"/>
      <c r="BC573" s="41"/>
      <c r="BD573" s="41"/>
      <c r="BE573" s="41"/>
      <c r="BF573" s="41"/>
      <c r="BG573" s="41"/>
      <c r="BH573" s="41"/>
      <c r="BI573" s="41"/>
      <c r="BJ573" s="41"/>
      <c r="BK573" s="41"/>
      <c r="BL573" s="41"/>
      <c r="BM573" s="41"/>
      <c r="BN573" s="41"/>
      <c r="BO573" s="41"/>
      <c r="BP573" s="41"/>
      <c r="BQ573" s="41"/>
      <c r="BR573" s="41"/>
      <c r="BS573" s="41"/>
      <c r="BT573" s="41"/>
      <c r="BU573" s="41"/>
      <c r="BV573" s="41"/>
      <c r="BW573" s="41"/>
      <c r="BX573" s="41"/>
      <c r="BY573" s="41"/>
      <c r="BZ573" s="41"/>
      <c r="CA573" s="41"/>
      <c r="CB573" s="41"/>
      <c r="CC573" s="41"/>
      <c r="CD573" s="41"/>
      <c r="CE573" s="41"/>
      <c r="CF573" s="41"/>
      <c r="CG573" s="41"/>
      <c r="CH573" s="41"/>
      <c r="CI573" s="41"/>
      <c r="CJ573" s="41"/>
      <c r="CK573" s="41"/>
      <c r="CL573" s="41"/>
      <c r="CM573" s="41"/>
      <c r="CN573" s="41"/>
      <c r="CO573" s="41"/>
      <c r="CP573" s="41"/>
      <c r="CQ573" s="41"/>
      <c r="CR573" s="41"/>
      <c r="CS573" s="41"/>
      <c r="CT573" s="41"/>
      <c r="CU573" s="41"/>
      <c r="CV573" s="41"/>
      <c r="CW573" s="41"/>
      <c r="CX573" s="41"/>
      <c r="CY573" s="41"/>
      <c r="CZ573" s="41"/>
      <c r="DA573" s="41"/>
      <c r="DB573" s="41"/>
      <c r="DC573" s="41"/>
      <c r="DD573" s="41"/>
      <c r="DE573" s="41"/>
      <c r="DF573" s="41"/>
      <c r="DG573" s="41"/>
      <c r="DH573" s="41"/>
      <c r="DI573" s="41"/>
      <c r="DJ573" s="41"/>
      <c r="DK573" s="41"/>
      <c r="DL573" s="41"/>
      <c r="DM573" s="41"/>
      <c r="DN573" s="41"/>
      <c r="DO573" s="41"/>
      <c r="DP573" s="41"/>
      <c r="DQ573" s="41"/>
      <c r="DR573" s="41"/>
      <c r="DS573" s="41"/>
      <c r="DT573" s="41"/>
      <c r="DU573" s="41"/>
      <c r="DV573" s="41"/>
      <c r="DW573" s="41"/>
      <c r="DX573" s="41"/>
      <c r="DY573" s="41"/>
      <c r="DZ573" s="41"/>
      <c r="EA573" s="41"/>
      <c r="EB573" s="41"/>
      <c r="EC573" s="41"/>
      <c r="ED573" s="41"/>
      <c r="EE573" s="41"/>
      <c r="EF573" s="41"/>
      <c r="EG573" s="41"/>
      <c r="EH573" s="41"/>
      <c r="EI573" s="41"/>
      <c r="EJ573" s="41"/>
      <c r="EK573" s="41"/>
      <c r="EL573" s="41"/>
      <c r="EM573" s="41"/>
      <c r="EN573" s="41"/>
      <c r="EO573" s="41"/>
      <c r="EP573" s="41"/>
      <c r="EQ573" s="41"/>
      <c r="ER573" s="41"/>
      <c r="ES573" s="41"/>
      <c r="ET573" s="41"/>
      <c r="EU573" s="41"/>
      <c r="EV573" s="41"/>
      <c r="EW573" s="41"/>
      <c r="EX573" s="41"/>
      <c r="EY573" s="41"/>
      <c r="EZ573" s="41"/>
      <c r="FA573" s="41"/>
      <c r="FB573" s="41"/>
      <c r="FC573" s="41"/>
      <c r="FD573" s="41"/>
      <c r="FE573" s="41"/>
      <c r="FF573" s="41"/>
      <c r="FG573" s="41"/>
      <c r="FH573" s="41"/>
      <c r="FI573" s="41"/>
      <c r="FJ573" s="41"/>
      <c r="FK573" s="41"/>
      <c r="FL573" s="41"/>
      <c r="FM573" s="41"/>
      <c r="FN573" s="41"/>
      <c r="FO573" s="41"/>
      <c r="FP573" s="41"/>
      <c r="FQ573" s="41"/>
      <c r="FR573" s="41"/>
      <c r="FS573" s="41"/>
      <c r="FT573" s="41"/>
      <c r="FU573" s="41"/>
      <c r="FV573" s="41"/>
      <c r="FW573" s="41"/>
      <c r="FX573" s="41"/>
      <c r="FY573" s="41"/>
      <c r="FZ573" s="41"/>
      <c r="GA573" s="41"/>
      <c r="GB573" s="41"/>
      <c r="GC573" s="41"/>
      <c r="GD573" s="41"/>
      <c r="GE573" s="41"/>
      <c r="GF573" s="41"/>
      <c r="GG573" s="41"/>
      <c r="GH573" s="41"/>
      <c r="GI573" s="41"/>
      <c r="GJ573" s="41"/>
      <c r="GK573" s="41"/>
      <c r="GL573" s="41"/>
      <c r="GM573" s="41"/>
      <c r="GN573" s="41"/>
      <c r="GO573" s="41"/>
      <c r="GP573" s="41"/>
      <c r="GQ573" s="41"/>
      <c r="GR573" s="41"/>
      <c r="GS573" s="41"/>
      <c r="GT573" s="41"/>
      <c r="GU573" s="41"/>
      <c r="GV573" s="41"/>
      <c r="GW573" s="41"/>
      <c r="GX573" s="41"/>
      <c r="GY573" s="41"/>
      <c r="GZ573" s="41"/>
      <c r="HA573" s="41"/>
      <c r="HB573" s="41"/>
      <c r="HC573" s="41"/>
      <c r="HD573" s="41"/>
      <c r="HE573" s="41"/>
      <c r="HF573" s="41"/>
      <c r="HG573" s="41"/>
      <c r="HH573" s="41"/>
      <c r="HI573" s="41"/>
      <c r="HJ573" s="41"/>
      <c r="HK573" s="41"/>
      <c r="HL573" s="41"/>
      <c r="HM573" s="41"/>
      <c r="HN573" s="41"/>
      <c r="HO573" s="41"/>
      <c r="HP573" s="41"/>
      <c r="HQ573" s="41"/>
      <c r="HR573" s="41"/>
      <c r="HS573" s="41"/>
      <c r="HT573" s="41"/>
      <c r="HU573" s="41"/>
      <c r="HV573" s="41"/>
      <c r="HW573" s="41"/>
      <c r="HX573" s="41"/>
      <c r="HY573" s="41"/>
      <c r="HZ573" s="41"/>
      <c r="IA573" s="41"/>
      <c r="IB573" s="41"/>
      <c r="IC573" s="41"/>
      <c r="ID573" s="41"/>
      <c r="IE573" s="41"/>
      <c r="IF573" s="41"/>
      <c r="IG573" s="41"/>
      <c r="IH573" s="41"/>
      <c r="II573" s="41"/>
      <c r="IJ573" s="41"/>
      <c r="IK573" s="41"/>
      <c r="IL573" s="41"/>
      <c r="IM573" s="41"/>
      <c r="IN573" s="41"/>
      <c r="IO573" s="41"/>
      <c r="IP573" s="41"/>
      <c r="IQ573" s="41"/>
      <c r="IR573" s="41"/>
      <c r="IS573" s="41"/>
      <c r="IT573" s="41"/>
      <c r="IU573" s="41"/>
      <c r="IV573" s="41"/>
      <c r="IW573" s="41"/>
      <c r="IX573" s="41"/>
      <c r="IY573" s="41"/>
      <c r="IZ573" s="41"/>
      <c r="JA573" s="41"/>
      <c r="JB573" s="41"/>
      <c r="JC573" s="41"/>
      <c r="JD573" s="41"/>
      <c r="JE573" s="41"/>
      <c r="JF573" s="41"/>
      <c r="JG573" s="41"/>
      <c r="JH573" s="41"/>
      <c r="JI573" s="41"/>
      <c r="JJ573" s="41"/>
      <c r="JK573" s="41"/>
      <c r="JL573" s="41"/>
      <c r="JM573" s="41"/>
      <c r="JN573" s="41"/>
      <c r="JO573" s="41"/>
      <c r="JP573" s="41"/>
      <c r="JQ573" s="41"/>
      <c r="JR573" s="41"/>
      <c r="JS573" s="41"/>
      <c r="JT573" s="41"/>
      <c r="JU573" s="41"/>
      <c r="JV573" s="41"/>
      <c r="JW573" s="41"/>
      <c r="JX573" s="41"/>
      <c r="JY573" s="41"/>
      <c r="JZ573" s="41"/>
      <c r="KA573" s="41"/>
      <c r="KB573" s="41"/>
      <c r="KC573" s="41"/>
    </row>
  </sheetData>
  <conditionalFormatting sqref="KD573:XFD573 A573 A1:XFD509 A511:XFD572 A510 GU510:XFD510 A574:XFD1048576">
    <cfRule type="colorScale" priority="2">
      <colorScale>
        <cfvo type="min"/>
        <cfvo type="percentile" val="50"/>
        <cfvo type="max"/>
        <color theme="3" tint="0.89999084444715716"/>
        <color theme="3" tint="0.499984740745262"/>
        <color theme="3" tint="0.249977111117893"/>
      </colorScale>
    </cfRule>
  </conditionalFormatting>
  <conditionalFormatting sqref="B573:KC573">
    <cfRule type="colorScale" priority="1">
      <colorScale>
        <cfvo type="min"/>
        <cfvo type="percentile" val="50"/>
        <cfvo type="max"/>
        <color theme="3" tint="0.89999084444715716"/>
        <color theme="3" tint="0.499984740745262"/>
        <color theme="3" tint="0.249977111117893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F39450E65FC74A9E6DE9EE55B1C397" ma:contentTypeVersion="8" ma:contentTypeDescription="Crée un document." ma:contentTypeScope="" ma:versionID="719629ec88eeea69eed0890a11ac8b21">
  <xsd:schema xmlns:xsd="http://www.w3.org/2001/XMLSchema" xmlns:xs="http://www.w3.org/2001/XMLSchema" xmlns:p="http://schemas.microsoft.com/office/2006/metadata/properties" xmlns:ns3="79e4b0c4-e970-40da-82e8-36678b1f9c7a" targetNamespace="http://schemas.microsoft.com/office/2006/metadata/properties" ma:root="true" ma:fieldsID="cae6f07d2ebe153d4e360fca731c26dd" ns3:_="">
    <xsd:import namespace="79e4b0c4-e970-40da-82e8-36678b1f9c7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LengthInSeconds" minOccurs="0"/>
                <xsd:element ref="ns3:_activity" minOccurs="0"/>
                <xsd:element ref="ns3:MediaServiceSearchPropertie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e4b0c4-e970-40da-82e8-36678b1f9c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e4b0c4-e970-40da-82e8-36678b1f9c7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35847B-FA3C-4AB6-BB76-B6DF30BF63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e4b0c4-e970-40da-82e8-36678b1f9c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628A62-A943-4976-B8FF-41F36D123A4E}">
  <ds:schemaRefs>
    <ds:schemaRef ds:uri="http://purl.org/dc/dcmitype/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infopath/2007/PartnerControls"/>
    <ds:schemaRef ds:uri="79e4b0c4-e970-40da-82e8-36678b1f9c7a"/>
    <ds:schemaRef ds:uri="http://schemas.microsoft.com/office/2006/documentManagement/typ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1C9ADB8-D1C2-443F-8AF5-6631DD3B59A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Pricer</vt:lpstr>
      <vt:lpstr>Analysis</vt:lpstr>
      <vt:lpstr>OptPriceGraph</vt:lpstr>
      <vt:lpstr>StockPriceGraph</vt:lpstr>
      <vt:lpstr>CumulativeProbaGraph</vt:lpstr>
      <vt:lpstr>Alpha</vt:lpstr>
      <vt:lpstr>BaseYear</vt:lpstr>
      <vt:lpstr>BSPrice</vt:lpstr>
      <vt:lpstr>BSPriceAnalysis</vt:lpstr>
      <vt:lpstr>BSTime</vt:lpstr>
      <vt:lpstr>BSTimeAnalysis</vt:lpstr>
      <vt:lpstr>CumulativeProbaGraph</vt:lpstr>
      <vt:lpstr>Delta</vt:lpstr>
      <vt:lpstr>DeltaEmpirique</vt:lpstr>
      <vt:lpstr>Dividend</vt:lpstr>
      <vt:lpstr>ExDateDiv</vt:lpstr>
      <vt:lpstr>ExerciseType</vt:lpstr>
      <vt:lpstr>FirstStepUsed</vt:lpstr>
      <vt:lpstr>FirstStrikeUsed</vt:lpstr>
      <vt:lpstr>Gamma</vt:lpstr>
      <vt:lpstr>GammaEmpirique</vt:lpstr>
      <vt:lpstr>CumulativeProbaGraph!GraphPlot</vt:lpstr>
      <vt:lpstr>OptPriceGraph!GraphPlot</vt:lpstr>
      <vt:lpstr>StockPriceGraph!GraphPlot</vt:lpstr>
      <vt:lpstr>InterestRate</vt:lpstr>
      <vt:lpstr>LecturePrice</vt:lpstr>
      <vt:lpstr>LectureTime</vt:lpstr>
      <vt:lpstr>LectureTimeEnd</vt:lpstr>
      <vt:lpstr>LongOptionDeltaHedging</vt:lpstr>
      <vt:lpstr>LongOptionDeltaHedgingEnd</vt:lpstr>
      <vt:lpstr>Maturity</vt:lpstr>
      <vt:lpstr>ModeleConclusion</vt:lpstr>
      <vt:lpstr>ModeleConclusionEnd</vt:lpstr>
      <vt:lpstr>NbSteps</vt:lpstr>
      <vt:lpstr>OptionType</vt:lpstr>
      <vt:lpstr>OptPriceGraph</vt:lpstr>
      <vt:lpstr>OurPrice</vt:lpstr>
      <vt:lpstr>OurPriceAnalysis</vt:lpstr>
      <vt:lpstr>OurTime</vt:lpstr>
      <vt:lpstr>OurTimeAnalysis</vt:lpstr>
      <vt:lpstr>PriceConvergenceBS</vt:lpstr>
      <vt:lpstr>PricingDate</vt:lpstr>
      <vt:lpstr>PricingGap</vt:lpstr>
      <vt:lpstr>Pruning</vt:lpstr>
      <vt:lpstr>Rho</vt:lpstr>
      <vt:lpstr>RhoEmpirique</vt:lpstr>
      <vt:lpstr>ShortOptionDeltaHedging</vt:lpstr>
      <vt:lpstr>ShortOptionDeltaHedgingEnd</vt:lpstr>
      <vt:lpstr>StockPrice</vt:lpstr>
      <vt:lpstr>StockPriceGraph</vt:lpstr>
      <vt:lpstr>Strike</vt:lpstr>
      <vt:lpstr>StrikeBSPriceAnalysis</vt:lpstr>
      <vt:lpstr>StrikeOurPriceAnalysis</vt:lpstr>
      <vt:lpstr>StrikePriceConvergenceBS</vt:lpstr>
      <vt:lpstr>StrikeTimeConvergenceBS</vt:lpstr>
      <vt:lpstr>Theta</vt:lpstr>
      <vt:lpstr>ThetaEmpirique</vt:lpstr>
      <vt:lpstr>TimeConvergenceBS</vt:lpstr>
      <vt:lpstr>TimeGap</vt:lpstr>
      <vt:lpstr>Vega</vt:lpstr>
      <vt:lpstr>VegaEmpirique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Cecile Lin</dc:creator>
  <cp:lastModifiedBy>Cecile Lin</cp:lastModifiedBy>
  <dcterms:created xsi:type="dcterms:W3CDTF">2024-09-25T13:58:04Z</dcterms:created>
  <dcterms:modified xsi:type="dcterms:W3CDTF">2024-11-03T00:00:33Z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0x010100C0F39450E65FC74A9E6DE9EE55B1C397</vt:lpwstr>
  </property>
</Properties>
</file>